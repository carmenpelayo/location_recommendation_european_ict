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ummary" sheetId="1" r:id="rId4"/>
    <sheet name="Structure" sheetId="2" r:id="rId5"/>
    <sheet name="Sheet 1" sheetId="3" r:id="rId6"/>
    <sheet name="Resumen" sheetId="4" r:id="rId7"/>
  </sheets>
</workbook>
</file>

<file path=xl/sharedStrings.xml><?xml version="1.0" encoding="utf-8"?>
<sst xmlns="http://schemas.openxmlformats.org/spreadsheetml/2006/main" uniqueCount="124">
  <si>
    <t>GDP and main components (output, expenditure and income) [NAMA_10_GDP__custom_2874374]</t>
  </si>
  <si>
    <r>
      <rPr>
        <u val="single"/>
        <sz val="9"/>
        <color indexed="11"/>
        <rFont val="Arial"/>
      </rPr>
      <t>Open product page</t>
    </r>
  </si>
  <si>
    <r>
      <rPr>
        <u val="single"/>
        <sz val="9"/>
        <color indexed="11"/>
        <rFont val="Arial"/>
      </rPr>
      <t>Open in Data Browser</t>
    </r>
  </si>
  <si>
    <t xml:space="preserve">Description: </t>
  </si>
  <si>
    <t>-</t>
  </si>
  <si>
    <t xml:space="preserve">Last update of data: </t>
  </si>
  <si>
    <t>03/06/2022 23:00</t>
  </si>
  <si>
    <t xml:space="preserve">Last change of data structure: </t>
  </si>
  <si>
    <t>22/03/2022 23:00</t>
  </si>
  <si>
    <t>Institutional source(s)</t>
  </si>
  <si>
    <t>Eurostat</t>
  </si>
  <si>
    <t>Contents</t>
  </si>
  <si>
    <t>Time frequency</t>
  </si>
  <si>
    <t>Unit of measure</t>
  </si>
  <si>
    <t>National accounts indicator (ESA 2010)</t>
  </si>
  <si>
    <r>
      <rPr>
        <u val="single"/>
        <sz val="9"/>
        <color indexed="11"/>
        <rFont val="Arial"/>
      </rPr>
      <t>Sheet 1</t>
    </r>
  </si>
  <si>
    <t>Annual</t>
  </si>
  <si>
    <t>Current prices, million euro</t>
  </si>
  <si>
    <t>Gross domestic product at market prices</t>
  </si>
  <si>
    <t>Structure</t>
  </si>
  <si>
    <t>Dimension</t>
  </si>
  <si>
    <t>Position</t>
  </si>
  <si>
    <t>Code</t>
  </si>
  <si>
    <t>Label</t>
  </si>
  <si>
    <t>geo</t>
  </si>
  <si>
    <t>Geopolitical entity (reporting)</t>
  </si>
  <si>
    <t>BE</t>
  </si>
  <si>
    <t>Belgium</t>
  </si>
  <si>
    <t>BG</t>
  </si>
  <si>
    <t>Bulgaria</t>
  </si>
  <si>
    <t>CZ</t>
  </si>
  <si>
    <t>Czechia</t>
  </si>
  <si>
    <t>DK</t>
  </si>
  <si>
    <t>Denmark</t>
  </si>
  <si>
    <t>DE</t>
  </si>
  <si>
    <t>Germany (until 1990 former territory of the FRG)</t>
  </si>
  <si>
    <t>EE</t>
  </si>
  <si>
    <t>Estonia</t>
  </si>
  <si>
    <t>IE</t>
  </si>
  <si>
    <t>Ireland</t>
  </si>
  <si>
    <t>EL</t>
  </si>
  <si>
    <t>Greece</t>
  </si>
  <si>
    <t>ES</t>
  </si>
  <si>
    <t>Spain</t>
  </si>
  <si>
    <t>FR</t>
  </si>
  <si>
    <t>France</t>
  </si>
  <si>
    <t>HR</t>
  </si>
  <si>
    <t>Croatia</t>
  </si>
  <si>
    <t>IT</t>
  </si>
  <si>
    <t>Italy</t>
  </si>
  <si>
    <t>CY</t>
  </si>
  <si>
    <t>Cyprus</t>
  </si>
  <si>
    <t>LV</t>
  </si>
  <si>
    <t>Latvia</t>
  </si>
  <si>
    <t>LT</t>
  </si>
  <si>
    <t>Lithuania</t>
  </si>
  <si>
    <t>LU</t>
  </si>
  <si>
    <t>Luxembourg</t>
  </si>
  <si>
    <t>HU</t>
  </si>
  <si>
    <t>Hungary</t>
  </si>
  <si>
    <t>MT</t>
  </si>
  <si>
    <t>Malta</t>
  </si>
  <si>
    <t>NL</t>
  </si>
  <si>
    <t>Netherlands</t>
  </si>
  <si>
    <t>AT</t>
  </si>
  <si>
    <t>Austria</t>
  </si>
  <si>
    <t>PL</t>
  </si>
  <si>
    <t>Poland</t>
  </si>
  <si>
    <t>PT</t>
  </si>
  <si>
    <t>Portugal</t>
  </si>
  <si>
    <t>RO</t>
  </si>
  <si>
    <t>Romania</t>
  </si>
  <si>
    <t>SI</t>
  </si>
  <si>
    <t>Slovenia</t>
  </si>
  <si>
    <t>SK</t>
  </si>
  <si>
    <t>Slovakia</t>
  </si>
  <si>
    <t>FI</t>
  </si>
  <si>
    <t>Finland</t>
  </si>
  <si>
    <t>SE</t>
  </si>
  <si>
    <t>Sweden</t>
  </si>
  <si>
    <t>IS</t>
  </si>
  <si>
    <t>Iceland</t>
  </si>
  <si>
    <t>LI</t>
  </si>
  <si>
    <t>Liechtenstein</t>
  </si>
  <si>
    <t>NO</t>
  </si>
  <si>
    <t>Norway</t>
  </si>
  <si>
    <t>CH</t>
  </si>
  <si>
    <t>Switzerland</t>
  </si>
  <si>
    <t>UK</t>
  </si>
  <si>
    <t>United Kingdom</t>
  </si>
  <si>
    <t>ME</t>
  </si>
  <si>
    <t>Montenegro</t>
  </si>
  <si>
    <t>MK</t>
  </si>
  <si>
    <t>North Macedonia</t>
  </si>
  <si>
    <t>AL</t>
  </si>
  <si>
    <t>Albania</t>
  </si>
  <si>
    <t>RS</t>
  </si>
  <si>
    <t>Serbia</t>
  </si>
  <si>
    <t>TR</t>
  </si>
  <si>
    <t>Turkey</t>
  </si>
  <si>
    <t>BA</t>
  </si>
  <si>
    <t>Bosnia and Herzegovina</t>
  </si>
  <si>
    <t>XK</t>
  </si>
  <si>
    <t>Kosovo (under United Nations Security Council Resolution 1244/99)</t>
  </si>
  <si>
    <t>Time</t>
  </si>
  <si>
    <t>2014</t>
  </si>
  <si>
    <t>2015</t>
  </si>
  <si>
    <t>2016</t>
  </si>
  <si>
    <t>2017</t>
  </si>
  <si>
    <t>2018</t>
  </si>
  <si>
    <t>2019</t>
  </si>
  <si>
    <t>2020</t>
  </si>
  <si>
    <t>Data extracted on 07/06/2022 18:00:39 from [ESTAT]</t>
  </si>
  <si>
    <t xml:space="preserve">Dataset: </t>
  </si>
  <si>
    <t xml:space="preserve">Last updated: </t>
  </si>
  <si>
    <t>TIME</t>
  </si>
  <si>
    <t>GEO (Codes)</t>
  </si>
  <si>
    <t>GEO (Labels)</t>
  </si>
  <si>
    <t>:</t>
  </si>
  <si>
    <t>Special value</t>
  </si>
  <si>
    <t>not available</t>
  </si>
  <si>
    <t>country</t>
  </si>
  <si>
    <t>name</t>
  </si>
  <si>
    <t>gpd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</si>
</sst>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#,##0.##########"/>
    <numFmt numFmtId="60" formatCode="#,##0.0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Arial"/>
    </font>
    <font>
      <u val="single"/>
      <sz val="9"/>
      <color indexed="11"/>
      <name val="Arial"/>
    </font>
    <font>
      <sz val="9"/>
      <color indexed="8"/>
      <name val="Arial"/>
    </font>
    <font>
      <sz val="9"/>
      <color indexed="1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34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9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9"/>
      </right>
      <top style="thin">
        <color indexed="13"/>
      </top>
      <bottom/>
      <diagonal/>
    </border>
    <border>
      <left style="thin">
        <color indexed="13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13"/>
      </left>
      <right/>
      <top/>
      <bottom/>
      <diagonal/>
    </border>
    <border>
      <left style="thin">
        <color indexed="13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3"/>
      </top>
      <bottom style="thin">
        <color indexed="9"/>
      </bottom>
      <diagonal/>
    </border>
    <border>
      <left style="thin">
        <color indexed="13"/>
      </left>
      <right style="thin">
        <color indexed="19"/>
      </right>
      <top style="thin">
        <color indexed="13"/>
      </top>
      <bottom/>
      <diagonal/>
    </border>
    <border>
      <left style="thin">
        <color indexed="19"/>
      </left>
      <right style="thin">
        <color indexed="19"/>
      </right>
      <top style="thin">
        <color indexed="13"/>
      </top>
      <bottom/>
      <diagonal/>
    </border>
    <border>
      <left style="thin">
        <color indexed="19"/>
      </left>
      <right style="thin">
        <color indexed="19"/>
      </right>
      <top style="thin">
        <color indexed="13"/>
      </top>
      <bottom style="thin">
        <color indexed="19"/>
      </bottom>
      <diagonal/>
    </border>
    <border>
      <left/>
      <right style="thin">
        <color indexed="19"/>
      </right>
      <top/>
      <bottom/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3"/>
      </left>
      <right style="thin">
        <color indexed="19"/>
      </right>
      <top/>
      <bottom/>
      <diagonal/>
    </border>
    <border>
      <left style="thin">
        <color indexed="19"/>
      </left>
      <right style="thin">
        <color indexed="19"/>
      </right>
      <top/>
      <bottom/>
      <diagonal/>
    </border>
    <border>
      <left style="thin">
        <color indexed="13"/>
      </left>
      <right style="thin">
        <color indexed="19"/>
      </right>
      <top/>
      <bottom style="thin">
        <color indexed="19"/>
      </bottom>
      <diagonal/>
    </border>
    <border>
      <left style="thin">
        <color indexed="19"/>
      </left>
      <right style="thin">
        <color indexed="19"/>
      </right>
      <top/>
      <bottom style="thin">
        <color indexed="19"/>
      </bottom>
      <diagonal/>
    </border>
    <border>
      <left style="thin">
        <color indexed="13"/>
      </left>
      <right style="thin">
        <color indexed="19"/>
      </right>
      <top style="thin">
        <color indexed="19"/>
      </top>
      <bottom/>
      <diagonal/>
    </border>
    <border>
      <left style="thin">
        <color indexed="19"/>
      </left>
      <right style="thin">
        <color indexed="19"/>
      </right>
      <top style="thin">
        <color indexed="19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center"/>
    </xf>
    <xf numFmtId="49" fontId="4" fillId="3" borderId="4" applyNumberFormat="1" applyFont="1" applyFill="1" applyBorder="1" applyAlignment="1" applyProtection="0">
      <alignment horizontal="left" vertical="center"/>
    </xf>
    <xf numFmtId="49" fontId="4" fillId="3" borderId="5" applyNumberFormat="1" applyFont="1" applyFill="1" applyBorder="1" applyAlignment="1" applyProtection="0">
      <alignment horizontal="left" vertical="center"/>
    </xf>
    <xf numFmtId="49" fontId="5" fillId="2" borderId="4" applyNumberFormat="1" applyFont="1" applyFill="1" applyBorder="1" applyAlignment="1" applyProtection="0">
      <alignment horizontal="left" vertical="top" wrapText="1"/>
    </xf>
    <xf numFmtId="49" fontId="5" fillId="2" borderId="5" applyNumberFormat="1" applyFont="1" applyFill="1" applyBorder="1" applyAlignment="1" applyProtection="0">
      <alignment horizontal="left" vertical="top" wrapText="1"/>
    </xf>
    <xf numFmtId="49" fontId="5" fillId="2" borderId="4" applyNumberFormat="1" applyFont="1" applyFill="1" applyBorder="1" applyAlignment="1" applyProtection="0">
      <alignment horizontal="left" vertical="center"/>
    </xf>
    <xf numFmtId="49" fontId="5" fillId="2" borderId="5" applyNumberFormat="1" applyFont="1" applyFill="1" applyBorder="1" applyAlignment="1" applyProtection="0">
      <alignment horizontal="left" vertical="center"/>
    </xf>
    <xf numFmtId="49" fontId="3" fillId="2" borderId="5" applyNumberFormat="1" applyFont="1" applyFill="1" applyBorder="1" applyAlignment="1" applyProtection="0">
      <alignment horizontal="left" vertical="center"/>
    </xf>
    <xf numFmtId="0" fontId="0" borderId="7" applyNumberFormat="0" applyFont="1" applyFill="0" applyBorder="1" applyAlignment="1" applyProtection="0">
      <alignment vertical="bottom"/>
    </xf>
    <xf numFmtId="49" fontId="4" fillId="2" borderId="8" applyNumberFormat="1" applyFont="1" applyFill="1" applyBorder="1" applyAlignment="1" applyProtection="0">
      <alignment horizontal="left" vertical="center"/>
    </xf>
    <xf numFmtId="49" fontId="5" fillId="2" borderId="8" applyNumberFormat="1" applyFont="1" applyFill="1" applyBorder="1" applyAlignment="1" applyProtection="0">
      <alignment horizontal="left" vertical="center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left" vertical="center"/>
    </xf>
    <xf numFmtId="49" fontId="3" fillId="3" borderId="5" applyNumberFormat="1" applyFont="1" applyFill="1" applyBorder="1" applyAlignment="1" applyProtection="0">
      <alignment horizontal="left" vertical="center"/>
    </xf>
    <xf numFmtId="0" fontId="3" fillId="3" borderId="5" applyNumberFormat="0" applyFont="1" applyFill="1" applyBorder="1" applyAlignment="1" applyProtection="0">
      <alignment horizontal="left" vertical="center"/>
    </xf>
    <xf numFmtId="0" fontId="3" fillId="3" borderId="6" applyNumberFormat="0" applyFont="1" applyFill="1" applyBorder="1" applyAlignment="1" applyProtection="0">
      <alignment horizontal="left" vertical="center"/>
    </xf>
    <xf numFmtId="49" fontId="5" fillId="3" borderId="5" applyNumberFormat="1" applyFont="1" applyFill="1" applyBorder="1" applyAlignment="1" applyProtection="0">
      <alignment horizontal="left" vertical="center"/>
    </xf>
    <xf numFmtId="49" fontId="5" fillId="3" borderId="6" applyNumberFormat="1" applyFont="1" applyFill="1" applyBorder="1" applyAlignment="1" applyProtection="0">
      <alignment horizontal="left" vertical="center"/>
    </xf>
    <xf numFmtId="49" fontId="5" fillId="2" borderId="6" applyNumberFormat="1" applyFont="1" applyFill="1" applyBorder="1" applyAlignment="1" applyProtection="0">
      <alignment horizontal="left" vertical="center"/>
    </xf>
    <xf numFmtId="49" fontId="5" fillId="2" borderId="9" applyNumberFormat="1" applyFont="1" applyFill="1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bottom"/>
    </xf>
    <xf numFmtId="49" fontId="5" fillId="2" borderId="10" applyNumberFormat="1" applyFont="1" applyFill="1" applyBorder="1" applyAlignment="1" applyProtection="0">
      <alignment horizontal="left" vertical="center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49" fontId="6" fillId="4" borderId="12" applyNumberFormat="1" applyFont="1" applyFill="1" applyBorder="1" applyAlignment="1" applyProtection="0">
      <alignment horizontal="right" vertical="center"/>
    </xf>
    <xf numFmtId="0" fontId="0" borderId="13" applyNumberFormat="0" applyFont="1" applyFill="0" applyBorder="1" applyAlignment="1" applyProtection="0">
      <alignment vertical="bottom"/>
    </xf>
    <xf numFmtId="49" fontId="6" fillId="4" borderId="12" applyNumberFormat="1" applyFont="1" applyFill="1" applyBorder="1" applyAlignment="1" applyProtection="0">
      <alignment horizontal="left" vertical="center"/>
    </xf>
    <xf numFmtId="49" fontId="5" fillId="5" borderId="12" applyNumberFormat="1" applyFont="1" applyFill="1" applyBorder="1" applyAlignment="1" applyProtection="0">
      <alignment horizontal="left" vertical="center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5" fillId="6" borderId="12" applyNumberFormat="1" applyFont="1" applyFill="1" applyBorder="1" applyAlignment="1" applyProtection="0">
      <alignment horizontal="left" vertical="center"/>
    </xf>
    <xf numFmtId="59" fontId="5" fillId="2" borderId="17" applyNumberFormat="1" applyFont="1" applyFill="1" applyBorder="1" applyAlignment="1" applyProtection="0">
      <alignment horizontal="right" vertical="center"/>
    </xf>
    <xf numFmtId="59" fontId="5" fillId="2" borderId="18" applyNumberFormat="1" applyFont="1" applyFill="1" applyBorder="1" applyAlignment="1" applyProtection="0">
      <alignment horizontal="right" vertical="center"/>
    </xf>
    <xf numFmtId="60" fontId="5" fillId="3" borderId="19" applyNumberFormat="1" applyFont="1" applyFill="1" applyBorder="1" applyAlignment="1" applyProtection="0">
      <alignment horizontal="right" vertical="center"/>
    </xf>
    <xf numFmtId="59" fontId="5" fillId="3" borderId="5" applyNumberFormat="1" applyFont="1" applyFill="1" applyBorder="1" applyAlignment="1" applyProtection="0">
      <alignment horizontal="right" vertical="center"/>
    </xf>
    <xf numFmtId="60" fontId="5" fillId="3" borderId="5" applyNumberFormat="1" applyFont="1" applyFill="1" applyBorder="1" applyAlignment="1" applyProtection="0">
      <alignment horizontal="right" vertical="center"/>
    </xf>
    <xf numFmtId="60" fontId="5" fillId="3" borderId="6" applyNumberFormat="1" applyFont="1" applyFill="1" applyBorder="1" applyAlignment="1" applyProtection="0">
      <alignment horizontal="right" vertical="center"/>
    </xf>
    <xf numFmtId="60" fontId="5" fillId="2" borderId="18" applyNumberFormat="1" applyFont="1" applyFill="1" applyBorder="1" applyAlignment="1" applyProtection="0">
      <alignment horizontal="right" vertical="center"/>
    </xf>
    <xf numFmtId="59" fontId="5" fillId="3" borderId="6" applyNumberFormat="1" applyFont="1" applyFill="1" applyBorder="1" applyAlignment="1" applyProtection="0">
      <alignment horizontal="right" vertical="center"/>
    </xf>
    <xf numFmtId="60" fontId="5" fillId="2" borderId="17" applyNumberFormat="1" applyFont="1" applyFill="1" applyBorder="1" applyAlignment="1" applyProtection="0">
      <alignment horizontal="right" vertical="center"/>
    </xf>
    <xf numFmtId="59" fontId="5" fillId="3" borderId="19" applyNumberFormat="1" applyFont="1" applyFill="1" applyBorder="1" applyAlignment="1" applyProtection="0">
      <alignment horizontal="right" vertical="center"/>
    </xf>
    <xf numFmtId="49" fontId="5" fillId="3" borderId="6" applyNumberFormat="1" applyFont="1" applyFill="1" applyBorder="1" applyAlignment="1" applyProtection="0">
      <alignment horizontal="right" vertical="center"/>
    </xf>
    <xf numFmtId="59" fontId="5" fillId="2" borderId="20" applyNumberFormat="1" applyFont="1" applyFill="1" applyBorder="1" applyAlignment="1" applyProtection="0">
      <alignment horizontal="right" vertical="center"/>
    </xf>
    <xf numFmtId="59" fontId="5" fillId="2" borderId="21" applyNumberFormat="1" applyFont="1" applyFill="1" applyBorder="1" applyAlignment="1" applyProtection="0">
      <alignment horizontal="right" vertical="center"/>
    </xf>
    <xf numFmtId="0" fontId="0" borderId="22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7" borderId="12" applyNumberFormat="1" applyFont="1" applyFill="1" applyBorder="1" applyAlignment="1" applyProtection="0">
      <alignment horizontal="left" vertical="center"/>
    </xf>
    <xf numFmtId="49" fontId="6" fillId="8" borderId="12" applyNumberFormat="1" applyFont="1" applyFill="1" applyBorder="1" applyAlignment="1" applyProtection="0">
      <alignment horizontal="left" vertical="center"/>
    </xf>
    <xf numFmtId="59" fontId="5" fillId="2" borderId="23" applyNumberFormat="1" applyFont="1" applyFill="1" applyBorder="1" applyAlignment="1" applyProtection="0">
      <alignment horizontal="right" vertical="center"/>
    </xf>
    <xf numFmtId="59" fontId="5" fillId="2" borderId="24" applyNumberFormat="1" applyFont="1" applyFill="1" applyBorder="1" applyAlignment="1" applyProtection="0">
      <alignment horizontal="right" vertical="center"/>
    </xf>
    <xf numFmtId="59" fontId="5" fillId="2" borderId="25" applyNumberFormat="1" applyFont="1" applyFill="1" applyBorder="1" applyAlignment="1" applyProtection="0">
      <alignment horizontal="right" vertical="center"/>
    </xf>
    <xf numFmtId="60" fontId="5" fillId="3" borderId="26" applyNumberFormat="1" applyFont="1" applyFill="1" applyBorder="1" applyAlignment="1" applyProtection="0">
      <alignment horizontal="right" vertical="center"/>
    </xf>
    <xf numFmtId="59" fontId="5" fillId="2" borderId="27" applyNumberFormat="1" applyFont="1" applyFill="1" applyBorder="1" applyAlignment="1" applyProtection="0">
      <alignment horizontal="right" vertical="center"/>
    </xf>
    <xf numFmtId="59" fontId="5" fillId="2" borderId="28" applyNumberFormat="1" applyFont="1" applyFill="1" applyBorder="1" applyAlignment="1" applyProtection="0">
      <alignment horizontal="right" vertical="center"/>
    </xf>
    <xf numFmtId="59" fontId="5" fillId="2" borderId="29" applyNumberFormat="1" applyFont="1" applyFill="1" applyBorder="1" applyAlignment="1" applyProtection="0">
      <alignment horizontal="right" vertical="center"/>
    </xf>
    <xf numFmtId="60" fontId="5" fillId="2" borderId="29" applyNumberFormat="1" applyFont="1" applyFill="1" applyBorder="1" applyAlignment="1" applyProtection="0">
      <alignment horizontal="right" vertical="center"/>
    </xf>
    <xf numFmtId="59" fontId="5" fillId="3" borderId="26" applyNumberFormat="1" applyFont="1" applyFill="1" applyBorder="1" applyAlignment="1" applyProtection="0">
      <alignment horizontal="right" vertical="center"/>
    </xf>
    <xf numFmtId="60" fontId="5" fillId="2" borderId="28" applyNumberFormat="1" applyFont="1" applyFill="1" applyBorder="1" applyAlignment="1" applyProtection="0">
      <alignment horizontal="right" vertical="center"/>
    </xf>
    <xf numFmtId="59" fontId="5" fillId="2" borderId="30" applyNumberFormat="1" applyFont="1" applyFill="1" applyBorder="1" applyAlignment="1" applyProtection="0">
      <alignment horizontal="right" vertical="center"/>
    </xf>
    <xf numFmtId="59" fontId="5" fillId="2" borderId="31" applyNumberFormat="1" applyFont="1" applyFill="1" applyBorder="1" applyAlignment="1" applyProtection="0">
      <alignment horizontal="right" vertical="center"/>
    </xf>
    <xf numFmtId="60" fontId="5" fillId="2" borderId="31" applyNumberFormat="1" applyFont="1" applyFill="1" applyBorder="1" applyAlignment="1" applyProtection="0">
      <alignment horizontal="right" vertical="center"/>
    </xf>
    <xf numFmtId="59" fontId="5" fillId="2" borderId="32" applyNumberFormat="1" applyFont="1" applyFill="1" applyBorder="1" applyAlignment="1" applyProtection="0">
      <alignment horizontal="right" vertical="center"/>
    </xf>
    <xf numFmtId="59" fontId="5" fillId="2" borderId="33" applyNumberFormat="1" applyFont="1" applyFill="1" applyBorder="1" applyAlignment="1" applyProtection="0">
      <alignment horizontal="righ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0000ff"/>
      <rgbColor rgb="fff6f6f6"/>
      <rgbColor rgb="ffb0b0b0"/>
      <rgbColor rgb="ff4669af"/>
      <rgbColor rgb="ff0096dc"/>
      <rgbColor rgb="ffdce6f1"/>
      <rgbColor rgb="ff3f6797"/>
      <rgbColor rgb="ff7ba0cd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539537</xdr:colOff>
      <xdr:row>3</xdr:row>
      <xdr:rowOff>57150</xdr:rowOff>
    </xdr:to>
    <xdr:pic>
      <xdr:nvPicPr>
        <xdr:cNvPr id="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13696738" cy="6286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c.europa.eu/eurostat/databrowser/product/page/NAMA_10_GDP__custom_2874374" TargetMode="External"/><Relationship Id="rId2" Type="http://schemas.openxmlformats.org/officeDocument/2006/relationships/hyperlink" Target="https://ec.europa.eu/eurostat/databrowser/view/NAMA_10_GDP__custom_2874374/default/table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O16"/>
  <sheetViews>
    <sheetView workbookViewId="0" showGridLines="0" defaultGridColor="1"/>
  </sheetViews>
  <sheetFormatPr defaultColWidth="8.83333" defaultRowHeight="15" customHeight="1" outlineLevelRow="0" outlineLevelCol="0"/>
  <cols>
    <col min="1" max="1" width="20" style="1" customWidth="1"/>
    <col min="2" max="2" width="10.5" style="1" customWidth="1"/>
    <col min="3" max="3" width="17.3516" style="1" customWidth="1"/>
    <col min="4" max="4" width="21.3516" style="1" customWidth="1"/>
    <col min="5" max="5" width="41.6719" style="1" customWidth="1"/>
    <col min="6" max="15" width="8.85156" style="1" customWidth="1"/>
    <col min="16" max="16384" width="8.85156" style="1" customWidth="1"/>
  </cols>
  <sheetData>
    <row r="1" ht="1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ht="1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</row>
    <row r="4" ht="1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</row>
    <row r="5" ht="1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</row>
    <row r="6" ht="15" customHeight="1">
      <c r="A6" t="s" s="8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</row>
    <row r="7" ht="15" customHeight="1">
      <c r="A7" t="s" s="9">
        <v>1</v>
      </c>
      <c r="B7" t="s" s="10">
        <v>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/>
    </row>
    <row r="8" ht="42.8" customHeight="1">
      <c r="A8" t="s" s="11">
        <v>3</v>
      </c>
      <c r="B8" t="s" s="12">
        <v>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</row>
    <row r="9" ht="1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</row>
    <row r="10" ht="15" customHeight="1">
      <c r="A10" t="s" s="13">
        <v>5</v>
      </c>
      <c r="B10" s="6"/>
      <c r="C10" s="6"/>
      <c r="D10" t="s" s="14">
        <v>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7"/>
    </row>
    <row r="11" ht="15" customHeight="1">
      <c r="A11" t="s" s="13">
        <v>7</v>
      </c>
      <c r="B11" s="6"/>
      <c r="C11" s="6"/>
      <c r="D11" t="s" s="14">
        <v>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</row>
    <row r="12" ht="1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7"/>
    </row>
    <row r="13" ht="15" customHeight="1">
      <c r="A13" s="5"/>
      <c r="B13" t="s" s="14">
        <v>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</row>
    <row r="14" ht="15" customHeight="1">
      <c r="A14" s="5"/>
      <c r="B14" s="6"/>
      <c r="C14" t="s" s="14">
        <v>10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</row>
    <row r="15" ht="15" customHeight="1">
      <c r="A15" s="5"/>
      <c r="B15" t="s" s="15">
        <v>11</v>
      </c>
      <c r="C15" t="s" s="15">
        <v>12</v>
      </c>
      <c r="D15" t="s" s="15">
        <v>13</v>
      </c>
      <c r="E15" t="s" s="15">
        <v>14</v>
      </c>
      <c r="F15" s="6"/>
      <c r="G15" s="6"/>
      <c r="H15" s="6"/>
      <c r="I15" s="6"/>
      <c r="J15" s="6"/>
      <c r="K15" s="6"/>
      <c r="L15" s="6"/>
      <c r="M15" s="6"/>
      <c r="N15" s="6"/>
      <c r="O15" s="7"/>
    </row>
    <row r="16" ht="15" customHeight="1">
      <c r="A16" s="16"/>
      <c r="B16" t="s" s="17">
        <v>15</v>
      </c>
      <c r="C16" t="s" s="18">
        <v>16</v>
      </c>
      <c r="D16" t="s" s="18">
        <v>17</v>
      </c>
      <c r="E16" t="s" s="18">
        <v>18</v>
      </c>
      <c r="F16" s="19"/>
      <c r="G16" s="19"/>
      <c r="H16" s="19"/>
      <c r="I16" s="19"/>
      <c r="J16" s="19"/>
      <c r="K16" s="19"/>
      <c r="L16" s="19"/>
      <c r="M16" s="19"/>
      <c r="N16" s="19"/>
      <c r="O16" s="20"/>
    </row>
  </sheetData>
  <mergeCells count="1">
    <mergeCell ref="B8:O8"/>
  </mergeCells>
  <hyperlinks>
    <hyperlink ref="A7" r:id="rId1" location="" tooltip="" display="Open product page"/>
    <hyperlink ref="B7" r:id="rId2" location="" tooltip="" display="Open in Data Browser"/>
    <hyperlink ref="B16" location="'Sheet 1'!R1C1" tooltip="" display="Sheet 1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E52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21" customWidth="1"/>
    <col min="2" max="5" width="79.6719" style="21" customWidth="1"/>
    <col min="6" max="16384" width="8.85156" style="21" customWidth="1"/>
  </cols>
  <sheetData>
    <row r="1" ht="13.55" customHeight="1">
      <c r="A1" t="s" s="22">
        <v>19</v>
      </c>
      <c r="B1" s="3"/>
      <c r="C1" s="3"/>
      <c r="D1" s="3"/>
      <c r="E1" s="4"/>
    </row>
    <row r="2" ht="14.6" customHeight="1">
      <c r="A2" s="5"/>
      <c r="B2" t="s" s="23">
        <v>20</v>
      </c>
      <c r="C2" s="24"/>
      <c r="D2" t="s" s="23">
        <v>21</v>
      </c>
      <c r="E2" s="25"/>
    </row>
    <row r="3" ht="13.55" customHeight="1">
      <c r="A3" s="5"/>
      <c r="B3" t="s" s="26">
        <v>22</v>
      </c>
      <c r="C3" t="s" s="26">
        <v>23</v>
      </c>
      <c r="D3" t="s" s="26">
        <v>22</v>
      </c>
      <c r="E3" t="s" s="27">
        <v>23</v>
      </c>
    </row>
    <row r="4" ht="13.55" customHeight="1">
      <c r="A4" s="5"/>
      <c r="B4" s="6"/>
      <c r="C4" t="s" s="14">
        <v>12</v>
      </c>
      <c r="D4" s="6"/>
      <c r="E4" t="s" s="28">
        <v>16</v>
      </c>
    </row>
    <row r="5" ht="13.55" customHeight="1">
      <c r="A5" s="5"/>
      <c r="B5" s="6"/>
      <c r="C5" t="s" s="26">
        <v>13</v>
      </c>
      <c r="D5" s="6"/>
      <c r="E5" t="s" s="27">
        <v>17</v>
      </c>
    </row>
    <row r="6" ht="13.55" customHeight="1">
      <c r="A6" s="5"/>
      <c r="B6" s="6"/>
      <c r="C6" t="s" s="14">
        <v>14</v>
      </c>
      <c r="D6" s="6"/>
      <c r="E6" t="s" s="28">
        <v>18</v>
      </c>
    </row>
    <row r="7" ht="13.55" customHeight="1">
      <c r="A7" s="5"/>
      <c r="B7" t="s" s="26">
        <v>24</v>
      </c>
      <c r="C7" t="s" s="26">
        <v>25</v>
      </c>
      <c r="D7" t="s" s="26">
        <v>26</v>
      </c>
      <c r="E7" t="s" s="27">
        <v>27</v>
      </c>
    </row>
    <row r="8" ht="13.55" customHeight="1">
      <c r="A8" s="5"/>
      <c r="B8" t="s" s="14">
        <v>24</v>
      </c>
      <c r="C8" t="s" s="14">
        <v>25</v>
      </c>
      <c r="D8" t="s" s="14">
        <v>28</v>
      </c>
      <c r="E8" t="s" s="28">
        <v>29</v>
      </c>
    </row>
    <row r="9" ht="13.55" customHeight="1">
      <c r="A9" s="5"/>
      <c r="B9" t="s" s="26">
        <v>24</v>
      </c>
      <c r="C9" t="s" s="26">
        <v>25</v>
      </c>
      <c r="D9" t="s" s="26">
        <v>30</v>
      </c>
      <c r="E9" t="s" s="27">
        <v>31</v>
      </c>
    </row>
    <row r="10" ht="13.55" customHeight="1">
      <c r="A10" s="5"/>
      <c r="B10" t="s" s="14">
        <v>24</v>
      </c>
      <c r="C10" t="s" s="14">
        <v>25</v>
      </c>
      <c r="D10" t="s" s="14">
        <v>32</v>
      </c>
      <c r="E10" t="s" s="28">
        <v>33</v>
      </c>
    </row>
    <row r="11" ht="13.55" customHeight="1">
      <c r="A11" s="5"/>
      <c r="B11" t="s" s="26">
        <v>24</v>
      </c>
      <c r="C11" t="s" s="26">
        <v>25</v>
      </c>
      <c r="D11" t="s" s="26">
        <v>34</v>
      </c>
      <c r="E11" t="s" s="27">
        <v>35</v>
      </c>
    </row>
    <row r="12" ht="13.55" customHeight="1">
      <c r="A12" s="5"/>
      <c r="B12" t="s" s="14">
        <v>24</v>
      </c>
      <c r="C12" t="s" s="14">
        <v>25</v>
      </c>
      <c r="D12" t="s" s="14">
        <v>36</v>
      </c>
      <c r="E12" t="s" s="28">
        <v>37</v>
      </c>
    </row>
    <row r="13" ht="13.55" customHeight="1">
      <c r="A13" s="5"/>
      <c r="B13" t="s" s="26">
        <v>24</v>
      </c>
      <c r="C13" t="s" s="26">
        <v>25</v>
      </c>
      <c r="D13" t="s" s="26">
        <v>38</v>
      </c>
      <c r="E13" t="s" s="27">
        <v>39</v>
      </c>
    </row>
    <row r="14" ht="13.55" customHeight="1">
      <c r="A14" s="5"/>
      <c r="B14" t="s" s="14">
        <v>24</v>
      </c>
      <c r="C14" t="s" s="14">
        <v>25</v>
      </c>
      <c r="D14" t="s" s="14">
        <v>40</v>
      </c>
      <c r="E14" t="s" s="28">
        <v>41</v>
      </c>
    </row>
    <row r="15" ht="13.55" customHeight="1">
      <c r="A15" s="5"/>
      <c r="B15" t="s" s="26">
        <v>24</v>
      </c>
      <c r="C15" t="s" s="26">
        <v>25</v>
      </c>
      <c r="D15" t="s" s="26">
        <v>42</v>
      </c>
      <c r="E15" t="s" s="27">
        <v>43</v>
      </c>
    </row>
    <row r="16" ht="13.55" customHeight="1">
      <c r="A16" s="5"/>
      <c r="B16" t="s" s="14">
        <v>24</v>
      </c>
      <c r="C16" t="s" s="14">
        <v>25</v>
      </c>
      <c r="D16" t="s" s="14">
        <v>44</v>
      </c>
      <c r="E16" t="s" s="28">
        <v>45</v>
      </c>
    </row>
    <row r="17" ht="13.55" customHeight="1">
      <c r="A17" s="5"/>
      <c r="B17" t="s" s="26">
        <v>24</v>
      </c>
      <c r="C17" t="s" s="26">
        <v>25</v>
      </c>
      <c r="D17" t="s" s="26">
        <v>46</v>
      </c>
      <c r="E17" t="s" s="27">
        <v>47</v>
      </c>
    </row>
    <row r="18" ht="13.55" customHeight="1">
      <c r="A18" s="5"/>
      <c r="B18" t="s" s="14">
        <v>24</v>
      </c>
      <c r="C18" t="s" s="14">
        <v>25</v>
      </c>
      <c r="D18" t="s" s="14">
        <v>48</v>
      </c>
      <c r="E18" t="s" s="28">
        <v>49</v>
      </c>
    </row>
    <row r="19" ht="13.55" customHeight="1">
      <c r="A19" s="5"/>
      <c r="B19" t="s" s="26">
        <v>24</v>
      </c>
      <c r="C19" t="s" s="26">
        <v>25</v>
      </c>
      <c r="D19" t="s" s="26">
        <v>50</v>
      </c>
      <c r="E19" t="s" s="27">
        <v>51</v>
      </c>
    </row>
    <row r="20" ht="13.55" customHeight="1">
      <c r="A20" s="5"/>
      <c r="B20" t="s" s="14">
        <v>24</v>
      </c>
      <c r="C20" t="s" s="14">
        <v>25</v>
      </c>
      <c r="D20" t="s" s="14">
        <v>52</v>
      </c>
      <c r="E20" t="s" s="28">
        <v>53</v>
      </c>
    </row>
    <row r="21" ht="13.55" customHeight="1">
      <c r="A21" s="5"/>
      <c r="B21" t="s" s="26">
        <v>24</v>
      </c>
      <c r="C21" t="s" s="26">
        <v>25</v>
      </c>
      <c r="D21" t="s" s="26">
        <v>54</v>
      </c>
      <c r="E21" t="s" s="27">
        <v>55</v>
      </c>
    </row>
    <row r="22" ht="13.55" customHeight="1">
      <c r="A22" s="5"/>
      <c r="B22" t="s" s="14">
        <v>24</v>
      </c>
      <c r="C22" t="s" s="14">
        <v>25</v>
      </c>
      <c r="D22" t="s" s="14">
        <v>56</v>
      </c>
      <c r="E22" t="s" s="28">
        <v>57</v>
      </c>
    </row>
    <row r="23" ht="13.55" customHeight="1">
      <c r="A23" s="5"/>
      <c r="B23" t="s" s="26">
        <v>24</v>
      </c>
      <c r="C23" t="s" s="26">
        <v>25</v>
      </c>
      <c r="D23" t="s" s="26">
        <v>58</v>
      </c>
      <c r="E23" t="s" s="27">
        <v>59</v>
      </c>
    </row>
    <row r="24" ht="13.55" customHeight="1">
      <c r="A24" s="5"/>
      <c r="B24" t="s" s="14">
        <v>24</v>
      </c>
      <c r="C24" t="s" s="14">
        <v>25</v>
      </c>
      <c r="D24" t="s" s="14">
        <v>60</v>
      </c>
      <c r="E24" t="s" s="28">
        <v>61</v>
      </c>
    </row>
    <row r="25" ht="13.55" customHeight="1">
      <c r="A25" s="5"/>
      <c r="B25" t="s" s="26">
        <v>24</v>
      </c>
      <c r="C25" t="s" s="26">
        <v>25</v>
      </c>
      <c r="D25" t="s" s="26">
        <v>62</v>
      </c>
      <c r="E25" t="s" s="27">
        <v>63</v>
      </c>
    </row>
    <row r="26" ht="13.55" customHeight="1">
      <c r="A26" s="5"/>
      <c r="B26" t="s" s="14">
        <v>24</v>
      </c>
      <c r="C26" t="s" s="14">
        <v>25</v>
      </c>
      <c r="D26" t="s" s="14">
        <v>64</v>
      </c>
      <c r="E26" t="s" s="28">
        <v>65</v>
      </c>
    </row>
    <row r="27" ht="13.55" customHeight="1">
      <c r="A27" s="5"/>
      <c r="B27" t="s" s="26">
        <v>24</v>
      </c>
      <c r="C27" t="s" s="26">
        <v>25</v>
      </c>
      <c r="D27" t="s" s="26">
        <v>66</v>
      </c>
      <c r="E27" t="s" s="27">
        <v>67</v>
      </c>
    </row>
    <row r="28" ht="13.55" customHeight="1">
      <c r="A28" s="5"/>
      <c r="B28" t="s" s="14">
        <v>24</v>
      </c>
      <c r="C28" t="s" s="14">
        <v>25</v>
      </c>
      <c r="D28" t="s" s="14">
        <v>68</v>
      </c>
      <c r="E28" t="s" s="28">
        <v>69</v>
      </c>
    </row>
    <row r="29" ht="13.55" customHeight="1">
      <c r="A29" s="5"/>
      <c r="B29" t="s" s="26">
        <v>24</v>
      </c>
      <c r="C29" t="s" s="26">
        <v>25</v>
      </c>
      <c r="D29" t="s" s="26">
        <v>70</v>
      </c>
      <c r="E29" t="s" s="27">
        <v>71</v>
      </c>
    </row>
    <row r="30" ht="13.55" customHeight="1">
      <c r="A30" s="5"/>
      <c r="B30" t="s" s="14">
        <v>24</v>
      </c>
      <c r="C30" t="s" s="14">
        <v>25</v>
      </c>
      <c r="D30" t="s" s="14">
        <v>72</v>
      </c>
      <c r="E30" t="s" s="28">
        <v>73</v>
      </c>
    </row>
    <row r="31" ht="13.55" customHeight="1">
      <c r="A31" s="5"/>
      <c r="B31" t="s" s="26">
        <v>24</v>
      </c>
      <c r="C31" t="s" s="26">
        <v>25</v>
      </c>
      <c r="D31" t="s" s="26">
        <v>74</v>
      </c>
      <c r="E31" t="s" s="27">
        <v>75</v>
      </c>
    </row>
    <row r="32" ht="13.55" customHeight="1">
      <c r="A32" s="5"/>
      <c r="B32" t="s" s="14">
        <v>24</v>
      </c>
      <c r="C32" t="s" s="14">
        <v>25</v>
      </c>
      <c r="D32" t="s" s="14">
        <v>76</v>
      </c>
      <c r="E32" t="s" s="28">
        <v>77</v>
      </c>
    </row>
    <row r="33" ht="13.55" customHeight="1">
      <c r="A33" s="5"/>
      <c r="B33" t="s" s="26">
        <v>24</v>
      </c>
      <c r="C33" t="s" s="26">
        <v>25</v>
      </c>
      <c r="D33" t="s" s="26">
        <v>78</v>
      </c>
      <c r="E33" t="s" s="27">
        <v>79</v>
      </c>
    </row>
    <row r="34" ht="13.55" customHeight="1">
      <c r="A34" s="5"/>
      <c r="B34" t="s" s="14">
        <v>24</v>
      </c>
      <c r="C34" t="s" s="14">
        <v>25</v>
      </c>
      <c r="D34" t="s" s="14">
        <v>80</v>
      </c>
      <c r="E34" t="s" s="28">
        <v>81</v>
      </c>
    </row>
    <row r="35" ht="13.55" customHeight="1">
      <c r="A35" s="5"/>
      <c r="B35" t="s" s="26">
        <v>24</v>
      </c>
      <c r="C35" t="s" s="26">
        <v>25</v>
      </c>
      <c r="D35" t="s" s="26">
        <v>82</v>
      </c>
      <c r="E35" t="s" s="27">
        <v>83</v>
      </c>
    </row>
    <row r="36" ht="13.55" customHeight="1">
      <c r="A36" s="5"/>
      <c r="B36" t="s" s="14">
        <v>24</v>
      </c>
      <c r="C36" t="s" s="14">
        <v>25</v>
      </c>
      <c r="D36" t="s" s="14">
        <v>84</v>
      </c>
      <c r="E36" t="s" s="28">
        <v>85</v>
      </c>
    </row>
    <row r="37" ht="13.55" customHeight="1">
      <c r="A37" s="5"/>
      <c r="B37" t="s" s="26">
        <v>24</v>
      </c>
      <c r="C37" t="s" s="26">
        <v>25</v>
      </c>
      <c r="D37" t="s" s="26">
        <v>86</v>
      </c>
      <c r="E37" t="s" s="27">
        <v>87</v>
      </c>
    </row>
    <row r="38" ht="13.55" customHeight="1">
      <c r="A38" s="5"/>
      <c r="B38" t="s" s="14">
        <v>24</v>
      </c>
      <c r="C38" t="s" s="14">
        <v>25</v>
      </c>
      <c r="D38" t="s" s="14">
        <v>88</v>
      </c>
      <c r="E38" t="s" s="28">
        <v>89</v>
      </c>
    </row>
    <row r="39" ht="13.55" customHeight="1">
      <c r="A39" s="5"/>
      <c r="B39" t="s" s="26">
        <v>24</v>
      </c>
      <c r="C39" t="s" s="26">
        <v>25</v>
      </c>
      <c r="D39" t="s" s="26">
        <v>90</v>
      </c>
      <c r="E39" t="s" s="27">
        <v>91</v>
      </c>
    </row>
    <row r="40" ht="13.55" customHeight="1">
      <c r="A40" s="5"/>
      <c r="B40" t="s" s="14">
        <v>24</v>
      </c>
      <c r="C40" t="s" s="14">
        <v>25</v>
      </c>
      <c r="D40" t="s" s="14">
        <v>92</v>
      </c>
      <c r="E40" t="s" s="28">
        <v>93</v>
      </c>
    </row>
    <row r="41" ht="13.55" customHeight="1">
      <c r="A41" s="5"/>
      <c r="B41" t="s" s="26">
        <v>24</v>
      </c>
      <c r="C41" t="s" s="26">
        <v>25</v>
      </c>
      <c r="D41" t="s" s="26">
        <v>94</v>
      </c>
      <c r="E41" t="s" s="27">
        <v>95</v>
      </c>
    </row>
    <row r="42" ht="13.55" customHeight="1">
      <c r="A42" s="5"/>
      <c r="B42" t="s" s="14">
        <v>24</v>
      </c>
      <c r="C42" t="s" s="14">
        <v>25</v>
      </c>
      <c r="D42" t="s" s="14">
        <v>96</v>
      </c>
      <c r="E42" t="s" s="28">
        <v>97</v>
      </c>
    </row>
    <row r="43" ht="13.55" customHeight="1">
      <c r="A43" s="5"/>
      <c r="B43" t="s" s="26">
        <v>24</v>
      </c>
      <c r="C43" t="s" s="26">
        <v>25</v>
      </c>
      <c r="D43" t="s" s="26">
        <v>98</v>
      </c>
      <c r="E43" t="s" s="27">
        <v>99</v>
      </c>
    </row>
    <row r="44" ht="13.55" customHeight="1">
      <c r="A44" s="5"/>
      <c r="B44" t="s" s="14">
        <v>24</v>
      </c>
      <c r="C44" t="s" s="14">
        <v>25</v>
      </c>
      <c r="D44" t="s" s="14">
        <v>100</v>
      </c>
      <c r="E44" t="s" s="28">
        <v>101</v>
      </c>
    </row>
    <row r="45" ht="13.55" customHeight="1">
      <c r="A45" s="5"/>
      <c r="B45" t="s" s="26">
        <v>24</v>
      </c>
      <c r="C45" t="s" s="26">
        <v>25</v>
      </c>
      <c r="D45" t="s" s="26">
        <v>102</v>
      </c>
      <c r="E45" t="s" s="27">
        <v>103</v>
      </c>
    </row>
    <row r="46" ht="13.55" customHeight="1">
      <c r="A46" s="5"/>
      <c r="B46" s="6"/>
      <c r="C46" t="s" s="14">
        <v>104</v>
      </c>
      <c r="D46" s="6"/>
      <c r="E46" t="s" s="28">
        <v>105</v>
      </c>
    </row>
    <row r="47" ht="13.55" customHeight="1">
      <c r="A47" s="5"/>
      <c r="B47" s="6"/>
      <c r="C47" t="s" s="26">
        <v>104</v>
      </c>
      <c r="D47" s="6"/>
      <c r="E47" t="s" s="27">
        <v>106</v>
      </c>
    </row>
    <row r="48" ht="13.55" customHeight="1">
      <c r="A48" s="5"/>
      <c r="B48" s="6"/>
      <c r="C48" t="s" s="14">
        <v>104</v>
      </c>
      <c r="D48" s="6"/>
      <c r="E48" t="s" s="28">
        <v>107</v>
      </c>
    </row>
    <row r="49" ht="13.55" customHeight="1">
      <c r="A49" s="5"/>
      <c r="B49" s="6"/>
      <c r="C49" t="s" s="26">
        <v>104</v>
      </c>
      <c r="D49" s="6"/>
      <c r="E49" t="s" s="27">
        <v>108</v>
      </c>
    </row>
    <row r="50" ht="13.55" customHeight="1">
      <c r="A50" s="5"/>
      <c r="B50" s="6"/>
      <c r="C50" t="s" s="14">
        <v>104</v>
      </c>
      <c r="D50" s="6"/>
      <c r="E50" t="s" s="28">
        <v>109</v>
      </c>
    </row>
    <row r="51" ht="13.55" customHeight="1">
      <c r="A51" s="5"/>
      <c r="B51" s="6"/>
      <c r="C51" t="s" s="26">
        <v>104</v>
      </c>
      <c r="D51" s="6"/>
      <c r="E51" t="s" s="27">
        <v>110</v>
      </c>
    </row>
    <row r="52" ht="13.55" customHeight="1">
      <c r="A52" s="16"/>
      <c r="B52" s="19"/>
      <c r="C52" t="s" s="18">
        <v>104</v>
      </c>
      <c r="D52" s="19"/>
      <c r="E52" t="s" s="29">
        <v>111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I52"/>
  <sheetViews>
    <sheetView workbookViewId="0" showGridLines="0" defaultGridColor="1"/>
  </sheetViews>
  <sheetFormatPr defaultColWidth="8.83333" defaultRowHeight="11.35" customHeight="1" outlineLevelRow="0" outlineLevelCol="0"/>
  <cols>
    <col min="1" max="1" width="11" style="30" customWidth="1"/>
    <col min="2" max="2" width="29.8516" style="30" customWidth="1"/>
    <col min="3" max="9" width="10" style="30" customWidth="1"/>
    <col min="10" max="16384" width="8.85156" style="30" customWidth="1"/>
  </cols>
  <sheetData>
    <row r="1" ht="13.55" customHeight="1">
      <c r="A1" t="s" s="31">
        <v>112</v>
      </c>
      <c r="B1" s="32"/>
      <c r="C1" s="32"/>
      <c r="D1" s="32"/>
      <c r="E1" s="32"/>
      <c r="F1" s="32"/>
      <c r="G1" s="32"/>
      <c r="H1" s="32"/>
      <c r="I1" s="32"/>
    </row>
    <row r="2" ht="13.55" customHeight="1">
      <c r="A2" t="s" s="31">
        <v>113</v>
      </c>
      <c r="B2" t="s" s="31">
        <v>0</v>
      </c>
      <c r="C2" s="32"/>
      <c r="D2" s="32"/>
      <c r="E2" s="32"/>
      <c r="F2" s="32"/>
      <c r="G2" s="32"/>
      <c r="H2" s="32"/>
      <c r="I2" s="32"/>
    </row>
    <row r="3" ht="13.55" customHeight="1">
      <c r="A3" t="s" s="31">
        <v>114</v>
      </c>
      <c r="B3" t="s" s="31">
        <v>6</v>
      </c>
      <c r="C3" s="32"/>
      <c r="D3" s="32"/>
      <c r="E3" s="32"/>
      <c r="F3" s="32"/>
      <c r="G3" s="32"/>
      <c r="H3" s="32"/>
      <c r="I3" s="32"/>
    </row>
    <row r="4" ht="13.55" customHeight="1">
      <c r="A4" s="32"/>
      <c r="B4" s="32"/>
      <c r="C4" s="32"/>
      <c r="D4" s="32"/>
      <c r="E4" s="32"/>
      <c r="F4" s="32"/>
      <c r="G4" s="32"/>
      <c r="H4" s="32"/>
      <c r="I4" s="32"/>
    </row>
    <row r="5" ht="13.55" customHeight="1">
      <c r="A5" t="s" s="31">
        <v>12</v>
      </c>
      <c r="B5" s="32"/>
      <c r="C5" t="s" s="31">
        <v>16</v>
      </c>
      <c r="D5" s="32"/>
      <c r="E5" s="32"/>
      <c r="F5" s="32"/>
      <c r="G5" s="32"/>
      <c r="H5" s="32"/>
      <c r="I5" s="32"/>
    </row>
    <row r="6" ht="13.55" customHeight="1">
      <c r="A6" t="s" s="31">
        <v>13</v>
      </c>
      <c r="B6" s="32"/>
      <c r="C6" t="s" s="31">
        <v>17</v>
      </c>
      <c r="D6" s="32"/>
      <c r="E6" s="32"/>
      <c r="F6" s="32"/>
      <c r="G6" s="32"/>
      <c r="H6" s="32"/>
      <c r="I6" s="32"/>
    </row>
    <row r="7" ht="13.55" customHeight="1">
      <c r="A7" t="s" s="31">
        <v>14</v>
      </c>
      <c r="B7" s="32"/>
      <c r="C7" t="s" s="31">
        <v>18</v>
      </c>
      <c r="D7" s="32"/>
      <c r="E7" s="32"/>
      <c r="F7" s="32"/>
      <c r="G7" s="32"/>
      <c r="H7" s="32"/>
      <c r="I7" s="32"/>
    </row>
    <row r="8" ht="13.55" customHeight="1">
      <c r="A8" s="33"/>
      <c r="B8" s="32"/>
      <c r="C8" s="33"/>
      <c r="D8" s="33"/>
      <c r="E8" s="33"/>
      <c r="F8" s="33"/>
      <c r="G8" s="33"/>
      <c r="H8" s="33"/>
      <c r="I8" s="33"/>
    </row>
    <row r="9" ht="12.7" customHeight="1">
      <c r="A9" t="s" s="34">
        <v>115</v>
      </c>
      <c r="B9" s="35"/>
      <c r="C9" t="s" s="36">
        <v>105</v>
      </c>
      <c r="D9" t="s" s="36">
        <v>106</v>
      </c>
      <c r="E9" t="s" s="36">
        <v>107</v>
      </c>
      <c r="F9" t="s" s="36">
        <v>108</v>
      </c>
      <c r="G9" t="s" s="36">
        <v>109</v>
      </c>
      <c r="H9" t="s" s="36">
        <v>110</v>
      </c>
      <c r="I9" t="s" s="36">
        <v>111</v>
      </c>
    </row>
    <row r="10" ht="13.55" customHeight="1">
      <c r="A10" t="s" s="37">
        <v>116</v>
      </c>
      <c r="B10" t="s" s="37">
        <v>117</v>
      </c>
      <c r="C10" s="38"/>
      <c r="D10" s="39"/>
      <c r="E10" s="39"/>
      <c r="F10" s="39"/>
      <c r="G10" s="39"/>
      <c r="H10" s="39"/>
      <c r="I10" s="40"/>
    </row>
    <row r="11" ht="12.7" customHeight="1">
      <c r="A11" t="s" s="41">
        <v>26</v>
      </c>
      <c r="B11" t="s" s="41">
        <v>27</v>
      </c>
      <c r="C11" s="42">
        <v>403003.3</v>
      </c>
      <c r="D11" s="43">
        <v>416701.4</v>
      </c>
      <c r="E11" s="43">
        <v>430085.3</v>
      </c>
      <c r="F11" s="43">
        <v>445050.1</v>
      </c>
      <c r="G11" s="43">
        <v>460091.7</v>
      </c>
      <c r="H11" s="43">
        <v>478238.9</v>
      </c>
      <c r="I11" s="43">
        <v>456731.5</v>
      </c>
    </row>
    <row r="12" ht="12.7" customHeight="1">
      <c r="A12" t="s" s="41">
        <v>28</v>
      </c>
      <c r="B12" t="s" s="41">
        <v>29</v>
      </c>
      <c r="C12" s="44">
        <v>43026</v>
      </c>
      <c r="D12" s="45">
        <v>45812.3</v>
      </c>
      <c r="E12" s="45">
        <v>48773.1</v>
      </c>
      <c r="F12" s="45">
        <v>52531.3</v>
      </c>
      <c r="G12" s="45">
        <v>56224.7</v>
      </c>
      <c r="H12" s="46">
        <v>61558</v>
      </c>
      <c r="I12" s="47">
        <v>61331</v>
      </c>
    </row>
    <row r="13" ht="12.7" customHeight="1">
      <c r="A13" t="s" s="41">
        <v>30</v>
      </c>
      <c r="B13" t="s" s="41">
        <v>31</v>
      </c>
      <c r="C13" s="42">
        <v>157821.3</v>
      </c>
      <c r="D13" s="43">
        <v>169558.2</v>
      </c>
      <c r="E13" s="43">
        <v>177438.5</v>
      </c>
      <c r="F13" s="43">
        <v>194132.9</v>
      </c>
      <c r="G13" s="43">
        <v>210927.8</v>
      </c>
      <c r="H13" s="43">
        <v>225568.7</v>
      </c>
      <c r="I13" s="48">
        <v>215248</v>
      </c>
    </row>
    <row r="14" ht="12.7" customHeight="1">
      <c r="A14" t="s" s="41">
        <v>32</v>
      </c>
      <c r="B14" t="s" s="41">
        <v>33</v>
      </c>
      <c r="C14" s="44">
        <v>265757</v>
      </c>
      <c r="D14" s="45">
        <v>273017.6</v>
      </c>
      <c r="E14" s="45">
        <v>283109.7</v>
      </c>
      <c r="F14" s="45">
        <v>294808.2</v>
      </c>
      <c r="G14" s="45">
        <v>302328.7</v>
      </c>
      <c r="H14" s="45">
        <v>310475.6</v>
      </c>
      <c r="I14" s="49">
        <v>312516.6</v>
      </c>
    </row>
    <row r="15" ht="12.7" customHeight="1">
      <c r="A15" t="s" s="41">
        <v>34</v>
      </c>
      <c r="B15" t="s" s="41">
        <v>35</v>
      </c>
      <c r="C15" s="50">
        <v>2927430</v>
      </c>
      <c r="D15" s="48">
        <v>3026180</v>
      </c>
      <c r="E15" s="48">
        <v>3134740</v>
      </c>
      <c r="F15" s="48">
        <v>3267160</v>
      </c>
      <c r="G15" s="48">
        <v>3367860</v>
      </c>
      <c r="H15" s="48">
        <v>3473350</v>
      </c>
      <c r="I15" s="48">
        <v>3367560</v>
      </c>
    </row>
    <row r="16" ht="12.7" customHeight="1">
      <c r="A16" t="s" s="41">
        <v>36</v>
      </c>
      <c r="B16" t="s" s="41">
        <v>37</v>
      </c>
      <c r="C16" s="51">
        <v>20048.2</v>
      </c>
      <c r="D16" s="45">
        <v>20631.4</v>
      </c>
      <c r="E16" s="45">
        <v>21747.9</v>
      </c>
      <c r="F16" s="45">
        <v>23833.6</v>
      </c>
      <c r="G16" s="45">
        <v>25817.7</v>
      </c>
      <c r="H16" s="45">
        <v>27732.3</v>
      </c>
      <c r="I16" s="49">
        <v>26834.5</v>
      </c>
    </row>
    <row r="17" ht="12.7" customHeight="1">
      <c r="A17" t="s" s="41">
        <v>38</v>
      </c>
      <c r="B17" t="s" s="41">
        <v>39</v>
      </c>
      <c r="C17" s="42">
        <v>194933.8</v>
      </c>
      <c r="D17" s="48">
        <v>262800</v>
      </c>
      <c r="E17" s="43">
        <v>270058.1</v>
      </c>
      <c r="F17" s="43">
        <v>296925.2</v>
      </c>
      <c r="G17" s="43">
        <v>326042.8</v>
      </c>
      <c r="H17" s="43">
        <v>356526.3</v>
      </c>
      <c r="I17" s="43">
        <v>372868.5</v>
      </c>
    </row>
    <row r="18" ht="12.7" customHeight="1">
      <c r="A18" t="s" s="41">
        <v>40</v>
      </c>
      <c r="B18" t="s" s="41">
        <v>41</v>
      </c>
      <c r="C18" s="44">
        <v>177236</v>
      </c>
      <c r="D18" s="45">
        <v>176368.9</v>
      </c>
      <c r="E18" s="45">
        <v>174494.2</v>
      </c>
      <c r="F18" s="45">
        <v>176903.4</v>
      </c>
      <c r="G18" s="45">
        <v>179557.7</v>
      </c>
      <c r="H18" s="45">
        <v>183250.4</v>
      </c>
      <c r="I18" s="49">
        <v>165326.4</v>
      </c>
    </row>
    <row r="19" ht="12.7" customHeight="1">
      <c r="A19" t="s" s="41">
        <v>42</v>
      </c>
      <c r="B19" t="s" s="41">
        <v>43</v>
      </c>
      <c r="C19" s="50">
        <v>1032158</v>
      </c>
      <c r="D19" s="48">
        <v>1077590</v>
      </c>
      <c r="E19" s="48">
        <v>1113840</v>
      </c>
      <c r="F19" s="48">
        <v>1161867</v>
      </c>
      <c r="G19" s="48">
        <v>1203259</v>
      </c>
      <c r="H19" s="48">
        <v>1244375</v>
      </c>
      <c r="I19" s="48">
        <v>1121948</v>
      </c>
    </row>
    <row r="20" ht="12.7" customHeight="1">
      <c r="A20" t="s" s="41">
        <v>44</v>
      </c>
      <c r="B20" t="s" s="41">
        <v>45</v>
      </c>
      <c r="C20" s="44">
        <v>2149765</v>
      </c>
      <c r="D20" s="46">
        <v>2198432</v>
      </c>
      <c r="E20" s="46">
        <v>2234129</v>
      </c>
      <c r="F20" s="46">
        <v>2297242</v>
      </c>
      <c r="G20" s="46">
        <v>2363306</v>
      </c>
      <c r="H20" s="46">
        <v>2437635</v>
      </c>
      <c r="I20" s="47">
        <v>2310469</v>
      </c>
    </row>
    <row r="21" ht="12.7" customHeight="1">
      <c r="A21" t="s" s="41">
        <v>46</v>
      </c>
      <c r="B21" t="s" s="41">
        <v>47</v>
      </c>
      <c r="C21" s="42">
        <v>43918.6</v>
      </c>
      <c r="D21" s="43">
        <v>45186.2</v>
      </c>
      <c r="E21" s="43">
        <v>47246.3</v>
      </c>
      <c r="F21" s="43">
        <v>49888.8</v>
      </c>
      <c r="G21" s="43">
        <v>52688.8</v>
      </c>
      <c r="H21" s="43">
        <v>55571.4</v>
      </c>
      <c r="I21" s="43">
        <v>50188.5</v>
      </c>
    </row>
    <row r="22" ht="12.7" customHeight="1">
      <c r="A22" t="s" s="41">
        <v>48</v>
      </c>
      <c r="B22" t="s" s="41">
        <v>49</v>
      </c>
      <c r="C22" s="51">
        <v>1627405.6</v>
      </c>
      <c r="D22" s="46">
        <v>1655355</v>
      </c>
      <c r="E22" s="45">
        <v>1695786.8</v>
      </c>
      <c r="F22" s="45">
        <v>1736592.8</v>
      </c>
      <c r="G22" s="45">
        <v>1771391.2</v>
      </c>
      <c r="H22" s="45">
        <v>1796633.8</v>
      </c>
      <c r="I22" s="49">
        <v>1656960.7</v>
      </c>
    </row>
    <row r="23" ht="12.7" customHeight="1">
      <c r="A23" t="s" s="41">
        <v>50</v>
      </c>
      <c r="B23" t="s" s="41">
        <v>51</v>
      </c>
      <c r="C23" s="42">
        <v>17430.2</v>
      </c>
      <c r="D23" s="48">
        <v>17884</v>
      </c>
      <c r="E23" s="43">
        <v>18929.3</v>
      </c>
      <c r="F23" s="43">
        <v>20245.3</v>
      </c>
      <c r="G23" s="43">
        <v>21612.6</v>
      </c>
      <c r="H23" s="43">
        <v>23009.9</v>
      </c>
      <c r="I23" s="43">
        <v>21617.9</v>
      </c>
    </row>
    <row r="24" ht="12.7" customHeight="1">
      <c r="A24" t="s" s="41">
        <v>52</v>
      </c>
      <c r="B24" t="s" s="41">
        <v>53</v>
      </c>
      <c r="C24" s="51">
        <v>23625.8</v>
      </c>
      <c r="D24" s="45">
        <v>24572.1</v>
      </c>
      <c r="E24" s="45">
        <v>25371.3</v>
      </c>
      <c r="F24" s="45">
        <v>26984.4</v>
      </c>
      <c r="G24" s="45">
        <v>29153.6</v>
      </c>
      <c r="H24" s="45">
        <v>30647.2</v>
      </c>
      <c r="I24" s="49">
        <v>29456.8</v>
      </c>
    </row>
    <row r="25" ht="12.7" customHeight="1">
      <c r="A25" t="s" s="41">
        <v>54</v>
      </c>
      <c r="B25" t="s" s="41">
        <v>55</v>
      </c>
      <c r="C25" s="42">
        <v>36581.3</v>
      </c>
      <c r="D25" s="43">
        <v>37345.7</v>
      </c>
      <c r="E25" s="43">
        <v>38889.9</v>
      </c>
      <c r="F25" s="43">
        <v>42276.3</v>
      </c>
      <c r="G25" s="43">
        <v>45514.8</v>
      </c>
      <c r="H25" s="43">
        <v>48859.9</v>
      </c>
      <c r="I25" s="43">
        <v>49507.2</v>
      </c>
    </row>
    <row r="26" ht="12.7" customHeight="1">
      <c r="A26" t="s" s="41">
        <v>56</v>
      </c>
      <c r="B26" t="s" s="41">
        <v>57</v>
      </c>
      <c r="C26" s="51">
        <v>51791.3</v>
      </c>
      <c r="D26" s="45">
        <v>54142.3</v>
      </c>
      <c r="E26" s="45">
        <v>56208.1</v>
      </c>
      <c r="F26" s="45">
        <v>58168.8</v>
      </c>
      <c r="G26" s="45">
        <v>60362.2</v>
      </c>
      <c r="H26" s="45">
        <v>62704.2</v>
      </c>
      <c r="I26" s="49">
        <v>64221.1</v>
      </c>
    </row>
    <row r="27" ht="12.7" customHeight="1">
      <c r="A27" t="s" s="41">
        <v>58</v>
      </c>
      <c r="B27" t="s" s="41">
        <v>59</v>
      </c>
      <c r="C27" s="42">
        <v>106297.8</v>
      </c>
      <c r="D27" s="43">
        <v>112823.6</v>
      </c>
      <c r="E27" s="43">
        <v>116279.4</v>
      </c>
      <c r="F27" s="48">
        <v>127046</v>
      </c>
      <c r="G27" s="43">
        <v>136073.4</v>
      </c>
      <c r="H27" s="43">
        <v>146113.2</v>
      </c>
      <c r="I27" s="43">
        <v>137441.6</v>
      </c>
    </row>
    <row r="28" ht="12.7" customHeight="1">
      <c r="A28" t="s" s="41">
        <v>60</v>
      </c>
      <c r="B28" t="s" s="41">
        <v>61</v>
      </c>
      <c r="C28" s="51">
        <v>8751.1</v>
      </c>
      <c r="D28" s="45">
        <v>9996.700000000001</v>
      </c>
      <c r="E28" s="45">
        <v>10541.1</v>
      </c>
      <c r="F28" s="46">
        <v>11941</v>
      </c>
      <c r="G28" s="45">
        <v>12954.8</v>
      </c>
      <c r="H28" s="45">
        <v>14047.1</v>
      </c>
      <c r="I28" s="47">
        <v>13066</v>
      </c>
    </row>
    <row r="29" ht="12.7" customHeight="1">
      <c r="A29" t="s" s="41">
        <v>62</v>
      </c>
      <c r="B29" t="s" s="41">
        <v>63</v>
      </c>
      <c r="C29" s="50">
        <v>671560</v>
      </c>
      <c r="D29" s="48">
        <v>690008</v>
      </c>
      <c r="E29" s="48">
        <v>708337</v>
      </c>
      <c r="F29" s="48">
        <v>738146</v>
      </c>
      <c r="G29" s="48">
        <v>773987</v>
      </c>
      <c r="H29" s="48">
        <v>813055</v>
      </c>
      <c r="I29" s="48">
        <v>800095</v>
      </c>
    </row>
    <row r="30" ht="12.7" customHeight="1">
      <c r="A30" t="s" s="41">
        <v>64</v>
      </c>
      <c r="B30" t="s" s="41">
        <v>65</v>
      </c>
      <c r="C30" s="51">
        <v>333146.1</v>
      </c>
      <c r="D30" s="45">
        <v>344269.2</v>
      </c>
      <c r="E30" s="46">
        <v>357608</v>
      </c>
      <c r="F30" s="45">
        <v>369361.9</v>
      </c>
      <c r="G30" s="46">
        <v>385424</v>
      </c>
      <c r="H30" s="45">
        <v>397518.5</v>
      </c>
      <c r="I30" s="49">
        <v>379320.6</v>
      </c>
    </row>
    <row r="31" ht="12.7" customHeight="1">
      <c r="A31" t="s" s="41">
        <v>66</v>
      </c>
      <c r="B31" t="s" s="41">
        <v>67</v>
      </c>
      <c r="C31" s="42">
        <v>408967.8</v>
      </c>
      <c r="D31" s="43">
        <v>430465.8</v>
      </c>
      <c r="E31" s="43">
        <v>427091.8</v>
      </c>
      <c r="F31" s="43">
        <v>467426.6</v>
      </c>
      <c r="G31" s="43">
        <v>497842.3</v>
      </c>
      <c r="H31" s="43">
        <v>533599.9</v>
      </c>
      <c r="I31" s="43">
        <v>526445.2</v>
      </c>
    </row>
    <row r="32" ht="12.7" customHeight="1">
      <c r="A32" t="s" s="41">
        <v>68</v>
      </c>
      <c r="B32" t="s" s="41">
        <v>69</v>
      </c>
      <c r="C32" s="51">
        <v>173053.7</v>
      </c>
      <c r="D32" s="45">
        <v>179713.2</v>
      </c>
      <c r="E32" s="45">
        <v>186489.8</v>
      </c>
      <c r="F32" s="45">
        <v>195947.2</v>
      </c>
      <c r="G32" s="45">
        <v>205184.1</v>
      </c>
      <c r="H32" s="45">
        <v>214374.6</v>
      </c>
      <c r="I32" s="49">
        <v>200087.6</v>
      </c>
    </row>
    <row r="33" ht="12.7" customHeight="1">
      <c r="A33" t="s" s="41">
        <v>70</v>
      </c>
      <c r="B33" t="s" s="41">
        <v>71</v>
      </c>
      <c r="C33" s="42">
        <v>150708.6</v>
      </c>
      <c r="D33" s="43">
        <v>160149.8</v>
      </c>
      <c r="E33" s="43">
        <v>170063.4</v>
      </c>
      <c r="F33" s="43">
        <v>187772.7</v>
      </c>
      <c r="G33" s="43">
        <v>204496.9</v>
      </c>
      <c r="H33" s="43">
        <v>223162.5</v>
      </c>
      <c r="I33" s="43">
        <v>218863.3</v>
      </c>
    </row>
    <row r="34" ht="12.7" customHeight="1">
      <c r="A34" t="s" s="41">
        <v>72</v>
      </c>
      <c r="B34" t="s" s="41">
        <v>73</v>
      </c>
      <c r="C34" s="51">
        <v>37634.3</v>
      </c>
      <c r="D34" s="45">
        <v>38852.6</v>
      </c>
      <c r="E34" s="45">
        <v>40443.2</v>
      </c>
      <c r="F34" s="45">
        <v>43011.3</v>
      </c>
      <c r="G34" s="45">
        <v>45864.2</v>
      </c>
      <c r="H34" s="45">
        <v>48396.7</v>
      </c>
      <c r="I34" s="47">
        <v>46918</v>
      </c>
    </row>
    <row r="35" ht="12.7" customHeight="1">
      <c r="A35" t="s" s="41">
        <v>74</v>
      </c>
      <c r="B35" t="s" s="41">
        <v>75</v>
      </c>
      <c r="C35" s="42">
        <v>76092.7</v>
      </c>
      <c r="D35" s="43">
        <v>79888.100000000006</v>
      </c>
      <c r="E35" s="43">
        <v>81014.3</v>
      </c>
      <c r="F35" s="43">
        <v>84442.899999999994</v>
      </c>
      <c r="G35" s="48">
        <v>89430</v>
      </c>
      <c r="H35" s="48">
        <v>94048</v>
      </c>
      <c r="I35" s="43">
        <v>92079.3</v>
      </c>
    </row>
    <row r="36" ht="12.7" customHeight="1">
      <c r="A36" t="s" s="41">
        <v>76</v>
      </c>
      <c r="B36" t="s" s="41">
        <v>77</v>
      </c>
      <c r="C36" s="44">
        <v>206897</v>
      </c>
      <c r="D36" s="46">
        <v>211385</v>
      </c>
      <c r="E36" s="46">
        <v>217518</v>
      </c>
      <c r="F36" s="46">
        <v>226301</v>
      </c>
      <c r="G36" s="46">
        <v>233468</v>
      </c>
      <c r="H36" s="46">
        <v>239852</v>
      </c>
      <c r="I36" s="47">
        <v>237995</v>
      </c>
    </row>
    <row r="37" ht="12.7" customHeight="1">
      <c r="A37" t="s" s="41">
        <v>78</v>
      </c>
      <c r="B37" t="s" s="41">
        <v>79</v>
      </c>
      <c r="C37" s="42">
        <v>438833.9</v>
      </c>
      <c r="D37" s="43">
        <v>455494.7</v>
      </c>
      <c r="E37" s="43">
        <v>466266.5</v>
      </c>
      <c r="F37" s="43">
        <v>480025.5</v>
      </c>
      <c r="G37" s="43">
        <v>470673.1</v>
      </c>
      <c r="H37" s="43">
        <v>476869.5</v>
      </c>
      <c r="I37" s="43">
        <v>480556.4</v>
      </c>
    </row>
    <row r="38" ht="12.7" customHeight="1">
      <c r="A38" t="s" s="41">
        <v>80</v>
      </c>
      <c r="B38" t="s" s="41">
        <v>81</v>
      </c>
      <c r="C38" s="51">
        <v>13472.6</v>
      </c>
      <c r="D38" s="45">
        <v>15795.3</v>
      </c>
      <c r="E38" s="45">
        <v>18804.2</v>
      </c>
      <c r="F38" s="45">
        <v>21917.7</v>
      </c>
      <c r="G38" s="45">
        <v>22241.1</v>
      </c>
      <c r="H38" s="45">
        <v>22166.8</v>
      </c>
      <c r="I38" s="49">
        <v>18943.4</v>
      </c>
    </row>
    <row r="39" ht="12.7" customHeight="1">
      <c r="A39" t="s" s="41">
        <v>82</v>
      </c>
      <c r="B39" t="s" s="41">
        <v>83</v>
      </c>
      <c r="C39" s="42">
        <v>5021.7</v>
      </c>
      <c r="D39" s="43">
        <v>5649.1</v>
      </c>
      <c r="E39" s="43">
        <v>5637.7</v>
      </c>
      <c r="F39" s="43">
        <v>5734.6</v>
      </c>
      <c r="G39" s="43">
        <v>5666.3</v>
      </c>
      <c r="H39" s="48">
        <v>5742</v>
      </c>
      <c r="I39" s="43">
        <v>5362.9</v>
      </c>
    </row>
    <row r="40" ht="12.7" customHeight="1">
      <c r="A40" t="s" s="41">
        <v>84</v>
      </c>
      <c r="B40" t="s" s="41">
        <v>85</v>
      </c>
      <c r="C40" s="51">
        <v>375947.3</v>
      </c>
      <c r="D40" s="45">
        <v>347632.1</v>
      </c>
      <c r="E40" s="45">
        <v>333471.3</v>
      </c>
      <c r="F40" s="45">
        <v>353316.4</v>
      </c>
      <c r="G40" s="45">
        <v>370294.3</v>
      </c>
      <c r="H40" s="45">
        <v>361734.6</v>
      </c>
      <c r="I40" s="49">
        <v>318051.2</v>
      </c>
    </row>
    <row r="41" ht="12.7" customHeight="1">
      <c r="A41" t="s" s="41">
        <v>86</v>
      </c>
      <c r="B41" t="s" s="41">
        <v>87</v>
      </c>
      <c r="C41" s="42">
        <v>553942.2</v>
      </c>
      <c r="D41" s="43">
        <v>632770.5</v>
      </c>
      <c r="E41" s="43">
        <v>628729.6</v>
      </c>
      <c r="F41" s="48">
        <v>623994</v>
      </c>
      <c r="G41" s="48">
        <v>622746</v>
      </c>
      <c r="H41" s="43">
        <v>653732.6</v>
      </c>
      <c r="I41" s="43">
        <v>659730.8</v>
      </c>
    </row>
    <row r="42" ht="12.7" customHeight="1">
      <c r="A42" t="s" s="41">
        <v>88</v>
      </c>
      <c r="B42" t="s" s="41">
        <v>89</v>
      </c>
      <c r="C42" s="51">
        <v>2311080.2</v>
      </c>
      <c r="D42" s="45">
        <v>2644716.5</v>
      </c>
      <c r="E42" s="45">
        <v>2434119.2</v>
      </c>
      <c r="F42" s="45">
        <v>2359789.9</v>
      </c>
      <c r="G42" s="45">
        <v>2420897.2</v>
      </c>
      <c r="H42" s="45">
        <v>2526615.2</v>
      </c>
      <c r="I42" t="s" s="52">
        <v>118</v>
      </c>
    </row>
    <row r="43" ht="12.7" customHeight="1">
      <c r="A43" t="s" s="41">
        <v>90</v>
      </c>
      <c r="B43" t="s" s="41">
        <v>91</v>
      </c>
      <c r="C43" s="42">
        <v>3457.9</v>
      </c>
      <c r="D43" s="43">
        <v>3654.5</v>
      </c>
      <c r="E43" s="43">
        <v>3954.2</v>
      </c>
      <c r="F43" s="43">
        <v>4299.1</v>
      </c>
      <c r="G43" s="43">
        <v>4663.1</v>
      </c>
      <c r="H43" s="43">
        <v>4950.7</v>
      </c>
      <c r="I43" s="43">
        <v>4185.6</v>
      </c>
    </row>
    <row r="44" ht="12.7" customHeight="1">
      <c r="A44" t="s" s="41">
        <v>92</v>
      </c>
      <c r="B44" t="s" s="41">
        <v>93</v>
      </c>
      <c r="C44" s="44">
        <v>8562</v>
      </c>
      <c r="D44" s="45">
        <v>9072.299999999999</v>
      </c>
      <c r="E44" s="45">
        <v>9656.5</v>
      </c>
      <c r="F44" s="45">
        <v>10038.3</v>
      </c>
      <c r="G44" s="46">
        <v>10744</v>
      </c>
      <c r="H44" s="46">
        <v>11262</v>
      </c>
      <c r="I44" s="49">
        <v>10635.3</v>
      </c>
    </row>
    <row r="45" ht="12.7" customHeight="1">
      <c r="A45" t="s" s="41">
        <v>94</v>
      </c>
      <c r="B45" t="s" s="41">
        <v>95</v>
      </c>
      <c r="C45" s="42">
        <v>9968.6</v>
      </c>
      <c r="D45" s="43">
        <v>10264.1</v>
      </c>
      <c r="E45" s="43">
        <v>10719.9</v>
      </c>
      <c r="F45" s="48">
        <v>11559</v>
      </c>
      <c r="G45" s="43">
        <v>12828.1</v>
      </c>
      <c r="H45" s="43">
        <v>13754.2</v>
      </c>
      <c r="I45" s="43">
        <v>13283.3</v>
      </c>
    </row>
    <row r="46" ht="12.7" customHeight="1">
      <c r="A46" t="s" s="41">
        <v>96</v>
      </c>
      <c r="B46" t="s" s="41">
        <v>97</v>
      </c>
      <c r="C46" s="51">
        <v>35467.5</v>
      </c>
      <c r="D46" s="45">
        <v>35740.2</v>
      </c>
      <c r="E46" s="45">
        <v>36779.3</v>
      </c>
      <c r="F46" s="45">
        <v>39235.3</v>
      </c>
      <c r="G46" s="45">
        <v>42892.2</v>
      </c>
      <c r="H46" s="45">
        <v>46005.4</v>
      </c>
      <c r="I46" s="49">
        <v>46796.4</v>
      </c>
    </row>
    <row r="47" ht="12.7" customHeight="1">
      <c r="A47" t="s" s="41">
        <v>98</v>
      </c>
      <c r="B47" t="s" s="41">
        <v>99</v>
      </c>
      <c r="C47" s="42">
        <v>707000.8</v>
      </c>
      <c r="D47" s="43">
        <v>777042.3</v>
      </c>
      <c r="E47" s="43">
        <v>785618.9</v>
      </c>
      <c r="F47" s="43">
        <v>760497.1</v>
      </c>
      <c r="G47" s="43">
        <v>658544.4</v>
      </c>
      <c r="H47" s="43">
        <v>679132.2</v>
      </c>
      <c r="I47" s="43">
        <v>626576.2</v>
      </c>
    </row>
    <row r="48" ht="12.7" customHeight="1">
      <c r="A48" t="s" s="41">
        <v>100</v>
      </c>
      <c r="B48" t="s" s="41">
        <v>101</v>
      </c>
      <c r="C48" s="51">
        <v>13988.3</v>
      </c>
      <c r="D48" s="45">
        <v>14617.4</v>
      </c>
      <c r="E48" s="45">
        <v>15289.9</v>
      </c>
      <c r="F48" s="45">
        <v>16042.4</v>
      </c>
      <c r="G48" s="45">
        <v>17099.7</v>
      </c>
      <c r="H48" s="45">
        <v>18046.4</v>
      </c>
      <c r="I48" s="49">
        <v>17514.3</v>
      </c>
    </row>
    <row r="49" ht="12.7" customHeight="1">
      <c r="A49" t="s" s="41">
        <v>102</v>
      </c>
      <c r="B49" t="s" s="41">
        <v>103</v>
      </c>
      <c r="C49" s="53">
        <v>5325.1</v>
      </c>
      <c r="D49" s="54">
        <v>5674.4</v>
      </c>
      <c r="E49" s="54">
        <v>6037.3</v>
      </c>
      <c r="F49" s="54">
        <v>6356.5</v>
      </c>
      <c r="G49" s="54">
        <v>6671.5</v>
      </c>
      <c r="H49" s="54">
        <v>7056.2</v>
      </c>
      <c r="I49" s="54">
        <v>6771.6</v>
      </c>
    </row>
    <row r="50" ht="13.55" customHeight="1">
      <c r="A50" s="55"/>
      <c r="B50" s="55"/>
      <c r="C50" s="32"/>
      <c r="D50" s="32"/>
      <c r="E50" s="32"/>
      <c r="F50" s="32"/>
      <c r="G50" s="32"/>
      <c r="H50" s="32"/>
      <c r="I50" s="32"/>
    </row>
    <row r="51" ht="13.55" customHeight="1">
      <c r="A51" t="s" s="31">
        <v>119</v>
      </c>
      <c r="B51" s="32"/>
      <c r="C51" s="32"/>
      <c r="D51" s="32"/>
      <c r="E51" s="32"/>
      <c r="F51" s="32"/>
      <c r="G51" s="32"/>
      <c r="H51" s="32"/>
      <c r="I51" s="32"/>
    </row>
    <row r="52" ht="13.55" customHeight="1">
      <c r="A52" t="s" s="31">
        <v>118</v>
      </c>
      <c r="B52" t="s" s="31">
        <v>120</v>
      </c>
      <c r="C52" s="32"/>
      <c r="D52" s="32"/>
      <c r="E52" s="32"/>
      <c r="F52" s="32"/>
      <c r="G52" s="32"/>
      <c r="H52" s="32"/>
      <c r="I52" s="32"/>
    </row>
  </sheetData>
  <mergeCells count="1">
    <mergeCell ref="A9:B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39"/>
  <sheetViews>
    <sheetView workbookViewId="0" showGridLines="0" defaultGridColor="1">
      <pane topLeftCell="B1" xSplit="1" ySplit="0" activePane="topRight" state="frozen"/>
    </sheetView>
  </sheetViews>
  <sheetFormatPr defaultColWidth="16.3333" defaultRowHeight="15.4" customHeight="1" outlineLevelRow="0" outlineLevelCol="0"/>
  <cols>
    <col min="1" max="10" width="16.3516" style="56" customWidth="1"/>
    <col min="11" max="16384" width="16.3516" style="56" customWidth="1"/>
  </cols>
  <sheetData>
    <row r="1" ht="12.7" customHeight="1">
      <c r="A1" t="s" s="57">
        <v>121</v>
      </c>
      <c r="B1" t="s" s="57">
        <v>122</v>
      </c>
      <c r="C1" t="s" s="58">
        <v>105</v>
      </c>
      <c r="D1" t="s" s="58">
        <v>106</v>
      </c>
      <c r="E1" t="s" s="58">
        <v>107</v>
      </c>
      <c r="F1" t="s" s="58">
        <v>108</v>
      </c>
      <c r="G1" t="s" s="58">
        <v>109</v>
      </c>
      <c r="H1" t="s" s="58">
        <v>110</v>
      </c>
      <c r="I1" t="s" s="58">
        <v>111</v>
      </c>
      <c r="J1" t="s" s="36">
        <v>123</v>
      </c>
    </row>
    <row r="2" ht="12.7" customHeight="1">
      <c r="A2" t="s" s="41">
        <v>26</v>
      </c>
      <c r="B2" t="s" s="41">
        <v>27</v>
      </c>
      <c r="C2" s="59">
        <v>403003.3</v>
      </c>
      <c r="D2" s="60">
        <v>416701.4</v>
      </c>
      <c r="E2" s="60">
        <v>430085.3</v>
      </c>
      <c r="F2" s="60">
        <v>445050.1</v>
      </c>
      <c r="G2" s="60">
        <v>460091.7</v>
      </c>
      <c r="H2" s="60">
        <v>478238.9</v>
      </c>
      <c r="I2" s="60">
        <v>456731.5</v>
      </c>
      <c r="J2" s="61">
        <f>SUM(C2:I2)</f>
        <v>3089902.2</v>
      </c>
    </row>
    <row r="3" ht="12.7" customHeight="1">
      <c r="A3" t="s" s="41">
        <v>28</v>
      </c>
      <c r="B3" t="s" s="41">
        <v>29</v>
      </c>
      <c r="C3" s="44">
        <v>43026</v>
      </c>
      <c r="D3" s="45">
        <v>45812.3</v>
      </c>
      <c r="E3" s="45">
        <v>48773.1</v>
      </c>
      <c r="F3" s="45">
        <v>52531.3</v>
      </c>
      <c r="G3" s="45">
        <v>56224.7</v>
      </c>
      <c r="H3" s="46">
        <v>61558</v>
      </c>
      <c r="I3" s="62">
        <v>61331</v>
      </c>
      <c r="J3" s="63">
        <f>SUM(C3:I3)</f>
        <v>369256.4</v>
      </c>
    </row>
    <row r="4" ht="12.7" customHeight="1">
      <c r="A4" t="s" s="41">
        <v>30</v>
      </c>
      <c r="B4" t="s" s="41">
        <v>31</v>
      </c>
      <c r="C4" s="64">
        <v>157821.3</v>
      </c>
      <c r="D4" s="65">
        <v>169558.2</v>
      </c>
      <c r="E4" s="65">
        <v>177438.5</v>
      </c>
      <c r="F4" s="65">
        <v>194132.9</v>
      </c>
      <c r="G4" s="65">
        <v>210927.8</v>
      </c>
      <c r="H4" s="65">
        <v>225568.7</v>
      </c>
      <c r="I4" s="66">
        <v>215248</v>
      </c>
      <c r="J4" s="63">
        <f>SUM(C4:I4)</f>
        <v>1350695.4</v>
      </c>
    </row>
    <row r="5" ht="12.7" customHeight="1">
      <c r="A5" t="s" s="41">
        <v>32</v>
      </c>
      <c r="B5" t="s" s="41">
        <v>33</v>
      </c>
      <c r="C5" s="44">
        <v>265757</v>
      </c>
      <c r="D5" s="45">
        <v>273017.6</v>
      </c>
      <c r="E5" s="45">
        <v>283109.7</v>
      </c>
      <c r="F5" s="45">
        <v>294808.2</v>
      </c>
      <c r="G5" s="45">
        <v>302328.7</v>
      </c>
      <c r="H5" s="45">
        <v>310475.6</v>
      </c>
      <c r="I5" s="67">
        <v>312516.6</v>
      </c>
      <c r="J5" s="63">
        <f>SUM(C5:I5)</f>
        <v>2042013.4</v>
      </c>
    </row>
    <row r="6" ht="12.7" customHeight="1">
      <c r="A6" t="s" s="41">
        <v>34</v>
      </c>
      <c r="B6" t="s" s="41">
        <v>35</v>
      </c>
      <c r="C6" s="68">
        <v>2927430</v>
      </c>
      <c r="D6" s="66">
        <v>3026180</v>
      </c>
      <c r="E6" s="66">
        <v>3134740</v>
      </c>
      <c r="F6" s="66">
        <v>3267160</v>
      </c>
      <c r="G6" s="66">
        <v>3367860</v>
      </c>
      <c r="H6" s="66">
        <v>3473350</v>
      </c>
      <c r="I6" s="66">
        <v>3367560</v>
      </c>
      <c r="J6" s="63">
        <f>SUM(C6:I6)</f>
        <v>22564280</v>
      </c>
    </row>
    <row r="7" ht="12.7" customHeight="1">
      <c r="A7" t="s" s="41">
        <v>36</v>
      </c>
      <c r="B7" t="s" s="41">
        <v>37</v>
      </c>
      <c r="C7" s="51">
        <v>20048.2</v>
      </c>
      <c r="D7" s="45">
        <v>20631.4</v>
      </c>
      <c r="E7" s="45">
        <v>21747.9</v>
      </c>
      <c r="F7" s="45">
        <v>23833.6</v>
      </c>
      <c r="G7" s="45">
        <v>25817.7</v>
      </c>
      <c r="H7" s="45">
        <v>27732.3</v>
      </c>
      <c r="I7" s="67">
        <v>26834.5</v>
      </c>
      <c r="J7" s="63">
        <f>SUM(C7:I7)</f>
        <v>166645.6</v>
      </c>
    </row>
    <row r="8" ht="12.7" customHeight="1">
      <c r="A8" t="s" s="41">
        <v>38</v>
      </c>
      <c r="B8" t="s" s="41">
        <v>39</v>
      </c>
      <c r="C8" s="64">
        <v>194933.8</v>
      </c>
      <c r="D8" s="66">
        <v>262800</v>
      </c>
      <c r="E8" s="65">
        <v>270058.1</v>
      </c>
      <c r="F8" s="65">
        <v>296925.2</v>
      </c>
      <c r="G8" s="65">
        <v>326042.8</v>
      </c>
      <c r="H8" s="65">
        <v>356526.3</v>
      </c>
      <c r="I8" s="65">
        <v>372868.5</v>
      </c>
      <c r="J8" s="63">
        <f>SUM(C8:I8)</f>
        <v>2080154.7</v>
      </c>
    </row>
    <row r="9" ht="12.7" customHeight="1">
      <c r="A9" t="s" s="41">
        <v>40</v>
      </c>
      <c r="B9" t="s" s="41">
        <v>41</v>
      </c>
      <c r="C9" s="44">
        <v>177236</v>
      </c>
      <c r="D9" s="45">
        <v>176368.9</v>
      </c>
      <c r="E9" s="45">
        <v>174494.2</v>
      </c>
      <c r="F9" s="45">
        <v>176903.4</v>
      </c>
      <c r="G9" s="45">
        <v>179557.7</v>
      </c>
      <c r="H9" s="45">
        <v>183250.4</v>
      </c>
      <c r="I9" s="67">
        <v>165326.4</v>
      </c>
      <c r="J9" s="63">
        <f>SUM(C9:I9)</f>
        <v>1233137</v>
      </c>
    </row>
    <row r="10" ht="12.7" customHeight="1">
      <c r="A10" t="s" s="41">
        <v>42</v>
      </c>
      <c r="B10" t="s" s="41">
        <v>43</v>
      </c>
      <c r="C10" s="68">
        <v>1032158</v>
      </c>
      <c r="D10" s="66">
        <v>1077590</v>
      </c>
      <c r="E10" s="66">
        <v>1113840</v>
      </c>
      <c r="F10" s="66">
        <v>1161867</v>
      </c>
      <c r="G10" s="66">
        <v>1203259</v>
      </c>
      <c r="H10" s="66">
        <v>1244375</v>
      </c>
      <c r="I10" s="66">
        <v>1121948</v>
      </c>
      <c r="J10" s="63">
        <f>SUM(C10:I10)</f>
        <v>7955037</v>
      </c>
    </row>
    <row r="11" ht="12.7" customHeight="1">
      <c r="A11" t="s" s="41">
        <v>44</v>
      </c>
      <c r="B11" t="s" s="41">
        <v>45</v>
      </c>
      <c r="C11" s="44">
        <v>2149765</v>
      </c>
      <c r="D11" s="46">
        <v>2198432</v>
      </c>
      <c r="E11" s="46">
        <v>2234129</v>
      </c>
      <c r="F11" s="46">
        <v>2297242</v>
      </c>
      <c r="G11" s="46">
        <v>2363306</v>
      </c>
      <c r="H11" s="46">
        <v>2437635</v>
      </c>
      <c r="I11" s="62">
        <v>2310469</v>
      </c>
      <c r="J11" s="63">
        <f>SUM(C11:I11)</f>
        <v>15990978</v>
      </c>
    </row>
    <row r="12" ht="12.7" customHeight="1">
      <c r="A12" t="s" s="41">
        <v>46</v>
      </c>
      <c r="B12" t="s" s="41">
        <v>47</v>
      </c>
      <c r="C12" s="64">
        <v>43918.6</v>
      </c>
      <c r="D12" s="65">
        <v>45186.2</v>
      </c>
      <c r="E12" s="65">
        <v>47246.3</v>
      </c>
      <c r="F12" s="65">
        <v>49888.8</v>
      </c>
      <c r="G12" s="65">
        <v>52688.8</v>
      </c>
      <c r="H12" s="65">
        <v>55571.4</v>
      </c>
      <c r="I12" s="65">
        <v>50188.5</v>
      </c>
      <c r="J12" s="63">
        <f>SUM(C12:I12)</f>
        <v>344688.6</v>
      </c>
    </row>
    <row r="13" ht="12.7" customHeight="1">
      <c r="A13" t="s" s="41">
        <v>48</v>
      </c>
      <c r="B13" t="s" s="41">
        <v>49</v>
      </c>
      <c r="C13" s="51">
        <v>1627405.6</v>
      </c>
      <c r="D13" s="46">
        <v>1655355</v>
      </c>
      <c r="E13" s="45">
        <v>1695786.8</v>
      </c>
      <c r="F13" s="45">
        <v>1736592.8</v>
      </c>
      <c r="G13" s="45">
        <v>1771391.2</v>
      </c>
      <c r="H13" s="45">
        <v>1796633.8</v>
      </c>
      <c r="I13" s="67">
        <v>1656960.7</v>
      </c>
      <c r="J13" s="63">
        <f>SUM(C13:I13)</f>
        <v>11940125.9</v>
      </c>
    </row>
    <row r="14" ht="12.7" customHeight="1">
      <c r="A14" t="s" s="41">
        <v>50</v>
      </c>
      <c r="B14" t="s" s="41">
        <v>51</v>
      </c>
      <c r="C14" s="64">
        <v>17430.2</v>
      </c>
      <c r="D14" s="66">
        <v>17884</v>
      </c>
      <c r="E14" s="65">
        <v>18929.3</v>
      </c>
      <c r="F14" s="65">
        <v>20245.3</v>
      </c>
      <c r="G14" s="65">
        <v>21612.6</v>
      </c>
      <c r="H14" s="65">
        <v>23009.9</v>
      </c>
      <c r="I14" s="65">
        <v>21617.9</v>
      </c>
      <c r="J14" s="63">
        <f>SUM(C14:I14)</f>
        <v>140729.2</v>
      </c>
    </row>
    <row r="15" ht="12.7" customHeight="1">
      <c r="A15" t="s" s="41">
        <v>52</v>
      </c>
      <c r="B15" t="s" s="41">
        <v>53</v>
      </c>
      <c r="C15" s="51">
        <v>23625.8</v>
      </c>
      <c r="D15" s="45">
        <v>24572.1</v>
      </c>
      <c r="E15" s="45">
        <v>25371.3</v>
      </c>
      <c r="F15" s="45">
        <v>26984.4</v>
      </c>
      <c r="G15" s="45">
        <v>29153.6</v>
      </c>
      <c r="H15" s="45">
        <v>30647.2</v>
      </c>
      <c r="I15" s="67">
        <v>29456.8</v>
      </c>
      <c r="J15" s="63">
        <f>SUM(C15:I15)</f>
        <v>189811.2</v>
      </c>
    </row>
    <row r="16" ht="12.7" customHeight="1">
      <c r="A16" t="s" s="41">
        <v>54</v>
      </c>
      <c r="B16" t="s" s="41">
        <v>55</v>
      </c>
      <c r="C16" s="64">
        <v>36581.3</v>
      </c>
      <c r="D16" s="65">
        <v>37345.7</v>
      </c>
      <c r="E16" s="65">
        <v>38889.9</v>
      </c>
      <c r="F16" s="65">
        <v>42276.3</v>
      </c>
      <c r="G16" s="65">
        <v>45514.8</v>
      </c>
      <c r="H16" s="65">
        <v>48859.9</v>
      </c>
      <c r="I16" s="65">
        <v>49507.2</v>
      </c>
      <c r="J16" s="63">
        <f>SUM(C16:I16)</f>
        <v>298975.1</v>
      </c>
    </row>
    <row r="17" ht="12.7" customHeight="1">
      <c r="A17" t="s" s="41">
        <v>56</v>
      </c>
      <c r="B17" t="s" s="41">
        <v>57</v>
      </c>
      <c r="C17" s="51">
        <v>51791.3</v>
      </c>
      <c r="D17" s="45">
        <v>54142.3</v>
      </c>
      <c r="E17" s="45">
        <v>56208.1</v>
      </c>
      <c r="F17" s="45">
        <v>58168.8</v>
      </c>
      <c r="G17" s="45">
        <v>60362.2</v>
      </c>
      <c r="H17" s="45">
        <v>62704.2</v>
      </c>
      <c r="I17" s="67">
        <v>64221.1</v>
      </c>
      <c r="J17" s="63">
        <f>SUM(C17:I17)</f>
        <v>407598</v>
      </c>
    </row>
    <row r="18" ht="12.7" customHeight="1">
      <c r="A18" t="s" s="41">
        <v>58</v>
      </c>
      <c r="B18" t="s" s="41">
        <v>59</v>
      </c>
      <c r="C18" s="64">
        <v>106297.8</v>
      </c>
      <c r="D18" s="65">
        <v>112823.6</v>
      </c>
      <c r="E18" s="65">
        <v>116279.4</v>
      </c>
      <c r="F18" s="66">
        <v>127046</v>
      </c>
      <c r="G18" s="65">
        <v>136073.4</v>
      </c>
      <c r="H18" s="65">
        <v>146113.2</v>
      </c>
      <c r="I18" s="65">
        <v>137441.6</v>
      </c>
      <c r="J18" s="63">
        <f>SUM(C18:I18)</f>
        <v>882075</v>
      </c>
    </row>
    <row r="19" ht="12.7" customHeight="1">
      <c r="A19" t="s" s="41">
        <v>60</v>
      </c>
      <c r="B19" t="s" s="41">
        <v>61</v>
      </c>
      <c r="C19" s="51">
        <v>8751.1</v>
      </c>
      <c r="D19" s="45">
        <v>9996.700000000001</v>
      </c>
      <c r="E19" s="45">
        <v>10541.1</v>
      </c>
      <c r="F19" s="46">
        <v>11941</v>
      </c>
      <c r="G19" s="45">
        <v>12954.8</v>
      </c>
      <c r="H19" s="45">
        <v>14047.1</v>
      </c>
      <c r="I19" s="62">
        <v>13066</v>
      </c>
      <c r="J19" s="63">
        <f>SUM(C19:I19)</f>
        <v>81297.8</v>
      </c>
    </row>
    <row r="20" ht="12.7" customHeight="1">
      <c r="A20" t="s" s="41">
        <v>62</v>
      </c>
      <c r="B20" t="s" s="41">
        <v>63</v>
      </c>
      <c r="C20" s="68">
        <v>671560</v>
      </c>
      <c r="D20" s="66">
        <v>690008</v>
      </c>
      <c r="E20" s="66">
        <v>708337</v>
      </c>
      <c r="F20" s="66">
        <v>738146</v>
      </c>
      <c r="G20" s="66">
        <v>773987</v>
      </c>
      <c r="H20" s="66">
        <v>813055</v>
      </c>
      <c r="I20" s="66">
        <v>800095</v>
      </c>
      <c r="J20" s="63">
        <f>SUM(C20:I20)</f>
        <v>5195188</v>
      </c>
    </row>
    <row r="21" ht="12.7" customHeight="1">
      <c r="A21" t="s" s="41">
        <v>64</v>
      </c>
      <c r="B21" t="s" s="41">
        <v>65</v>
      </c>
      <c r="C21" s="51">
        <v>333146.1</v>
      </c>
      <c r="D21" s="45">
        <v>344269.2</v>
      </c>
      <c r="E21" s="46">
        <v>357608</v>
      </c>
      <c r="F21" s="45">
        <v>369361.9</v>
      </c>
      <c r="G21" s="46">
        <v>385424</v>
      </c>
      <c r="H21" s="45">
        <v>397518.5</v>
      </c>
      <c r="I21" s="67">
        <v>379320.6</v>
      </c>
      <c r="J21" s="63">
        <f>SUM(C21:I21)</f>
        <v>2566648.3</v>
      </c>
    </row>
    <row r="22" ht="12.7" customHeight="1">
      <c r="A22" t="s" s="41">
        <v>66</v>
      </c>
      <c r="B22" t="s" s="41">
        <v>67</v>
      </c>
      <c r="C22" s="64">
        <v>408967.8</v>
      </c>
      <c r="D22" s="65">
        <v>430465.8</v>
      </c>
      <c r="E22" s="65">
        <v>427091.8</v>
      </c>
      <c r="F22" s="65">
        <v>467426.6</v>
      </c>
      <c r="G22" s="65">
        <v>497842.3</v>
      </c>
      <c r="H22" s="65">
        <v>533599.9</v>
      </c>
      <c r="I22" s="65">
        <v>526445.2</v>
      </c>
      <c r="J22" s="63">
        <f>SUM(C22:I22)</f>
        <v>3291839.4</v>
      </c>
    </row>
    <row r="23" ht="12.7" customHeight="1">
      <c r="A23" t="s" s="41">
        <v>68</v>
      </c>
      <c r="B23" t="s" s="41">
        <v>69</v>
      </c>
      <c r="C23" s="51">
        <v>173053.7</v>
      </c>
      <c r="D23" s="45">
        <v>179713.2</v>
      </c>
      <c r="E23" s="45">
        <v>186489.8</v>
      </c>
      <c r="F23" s="45">
        <v>195947.2</v>
      </c>
      <c r="G23" s="45">
        <v>205184.1</v>
      </c>
      <c r="H23" s="45">
        <v>214374.6</v>
      </c>
      <c r="I23" s="67">
        <v>200087.6</v>
      </c>
      <c r="J23" s="63">
        <f>SUM(C23:I23)</f>
        <v>1354850.2</v>
      </c>
    </row>
    <row r="24" ht="12.7" customHeight="1">
      <c r="A24" t="s" s="41">
        <v>70</v>
      </c>
      <c r="B24" t="s" s="41">
        <v>71</v>
      </c>
      <c r="C24" s="64">
        <v>150708.6</v>
      </c>
      <c r="D24" s="65">
        <v>160149.8</v>
      </c>
      <c r="E24" s="65">
        <v>170063.4</v>
      </c>
      <c r="F24" s="65">
        <v>187772.7</v>
      </c>
      <c r="G24" s="65">
        <v>204496.9</v>
      </c>
      <c r="H24" s="65">
        <v>223162.5</v>
      </c>
      <c r="I24" s="65">
        <v>218863.3</v>
      </c>
      <c r="J24" s="63">
        <f>SUM(C24:I24)</f>
        <v>1315217.2</v>
      </c>
    </row>
    <row r="25" ht="12.7" customHeight="1">
      <c r="A25" t="s" s="41">
        <v>72</v>
      </c>
      <c r="B25" t="s" s="41">
        <v>73</v>
      </c>
      <c r="C25" s="51">
        <v>37634.3</v>
      </c>
      <c r="D25" s="45">
        <v>38852.6</v>
      </c>
      <c r="E25" s="45">
        <v>40443.2</v>
      </c>
      <c r="F25" s="45">
        <v>43011.3</v>
      </c>
      <c r="G25" s="45">
        <v>45864.2</v>
      </c>
      <c r="H25" s="45">
        <v>48396.7</v>
      </c>
      <c r="I25" s="62">
        <v>46918</v>
      </c>
      <c r="J25" s="63">
        <f>SUM(C25:I25)</f>
        <v>301120.3</v>
      </c>
    </row>
    <row r="26" ht="12.7" customHeight="1">
      <c r="A26" t="s" s="41">
        <v>74</v>
      </c>
      <c r="B26" t="s" s="41">
        <v>75</v>
      </c>
      <c r="C26" s="64">
        <v>76092.7</v>
      </c>
      <c r="D26" s="65">
        <v>79888.100000000006</v>
      </c>
      <c r="E26" s="65">
        <v>81014.3</v>
      </c>
      <c r="F26" s="65">
        <v>84442.899999999994</v>
      </c>
      <c r="G26" s="66">
        <v>89430</v>
      </c>
      <c r="H26" s="66">
        <v>94048</v>
      </c>
      <c r="I26" s="65">
        <v>92079.3</v>
      </c>
      <c r="J26" s="63">
        <f>SUM(C26:I26)</f>
        <v>596995.3</v>
      </c>
    </row>
    <row r="27" ht="12.7" customHeight="1">
      <c r="A27" t="s" s="41">
        <v>76</v>
      </c>
      <c r="B27" t="s" s="41">
        <v>77</v>
      </c>
      <c r="C27" s="44">
        <v>206897</v>
      </c>
      <c r="D27" s="46">
        <v>211385</v>
      </c>
      <c r="E27" s="46">
        <v>217518</v>
      </c>
      <c r="F27" s="46">
        <v>226301</v>
      </c>
      <c r="G27" s="46">
        <v>233468</v>
      </c>
      <c r="H27" s="46">
        <v>239852</v>
      </c>
      <c r="I27" s="62">
        <v>237995</v>
      </c>
      <c r="J27" s="63">
        <f>SUM(C27:I27)</f>
        <v>1573416</v>
      </c>
    </row>
    <row r="28" ht="12.7" customHeight="1">
      <c r="A28" t="s" s="41">
        <v>78</v>
      </c>
      <c r="B28" t="s" s="41">
        <v>79</v>
      </c>
      <c r="C28" s="64">
        <v>438833.9</v>
      </c>
      <c r="D28" s="65">
        <v>455494.7</v>
      </c>
      <c r="E28" s="65">
        <v>466266.5</v>
      </c>
      <c r="F28" s="65">
        <v>480025.5</v>
      </c>
      <c r="G28" s="65">
        <v>470673.1</v>
      </c>
      <c r="H28" s="65">
        <v>476869.5</v>
      </c>
      <c r="I28" s="65">
        <v>480556.4</v>
      </c>
      <c r="J28" s="63">
        <f>SUM(C28:I28)</f>
        <v>3268719.6</v>
      </c>
    </row>
    <row r="29" ht="12.7" customHeight="1">
      <c r="A29" t="s" s="41">
        <v>80</v>
      </c>
      <c r="B29" t="s" s="41">
        <v>81</v>
      </c>
      <c r="C29" s="51">
        <v>13472.6</v>
      </c>
      <c r="D29" s="45">
        <v>15795.3</v>
      </c>
      <c r="E29" s="45">
        <v>18804.2</v>
      </c>
      <c r="F29" s="45">
        <v>21917.7</v>
      </c>
      <c r="G29" s="45">
        <v>22241.1</v>
      </c>
      <c r="H29" s="45">
        <v>22166.8</v>
      </c>
      <c r="I29" s="67">
        <v>18943.4</v>
      </c>
      <c r="J29" s="63">
        <f>SUM(C29:I29)</f>
        <v>133341.1</v>
      </c>
    </row>
    <row r="30" ht="12.7" customHeight="1">
      <c r="A30" t="s" s="41">
        <v>82</v>
      </c>
      <c r="B30" t="s" s="41">
        <v>83</v>
      </c>
      <c r="C30" s="64">
        <v>5021.7</v>
      </c>
      <c r="D30" s="65">
        <v>5649.1</v>
      </c>
      <c r="E30" s="65">
        <v>5637.7</v>
      </c>
      <c r="F30" s="65">
        <v>5734.6</v>
      </c>
      <c r="G30" s="65">
        <v>5666.3</v>
      </c>
      <c r="H30" s="66">
        <v>5742</v>
      </c>
      <c r="I30" s="65">
        <v>5362.9</v>
      </c>
      <c r="J30" s="63">
        <f>SUM(C30:I30)</f>
        <v>38814.3</v>
      </c>
    </row>
    <row r="31" ht="12.7" customHeight="1">
      <c r="A31" t="s" s="41">
        <v>84</v>
      </c>
      <c r="B31" t="s" s="41">
        <v>85</v>
      </c>
      <c r="C31" s="51">
        <v>375947.3</v>
      </c>
      <c r="D31" s="45">
        <v>347632.1</v>
      </c>
      <c r="E31" s="45">
        <v>333471.3</v>
      </c>
      <c r="F31" s="45">
        <v>353316.4</v>
      </c>
      <c r="G31" s="45">
        <v>370294.3</v>
      </c>
      <c r="H31" s="45">
        <v>361734.6</v>
      </c>
      <c r="I31" s="67">
        <v>318051.2</v>
      </c>
      <c r="J31" s="63">
        <f>SUM(C31:I31)</f>
        <v>2460447.2</v>
      </c>
    </row>
    <row r="32" ht="12.7" customHeight="1">
      <c r="A32" t="s" s="41">
        <v>86</v>
      </c>
      <c r="B32" t="s" s="41">
        <v>87</v>
      </c>
      <c r="C32" s="69">
        <v>553942.2</v>
      </c>
      <c r="D32" s="70">
        <v>632770.5</v>
      </c>
      <c r="E32" s="70">
        <v>628729.6</v>
      </c>
      <c r="F32" s="71">
        <v>623994</v>
      </c>
      <c r="G32" s="71">
        <v>622746</v>
      </c>
      <c r="H32" s="70">
        <v>653732.6</v>
      </c>
      <c r="I32" s="70">
        <v>659730.8</v>
      </c>
      <c r="J32" s="63">
        <f>SUM(C32:I32)</f>
        <v>4375645.7</v>
      </c>
    </row>
    <row r="33" ht="12.7" customHeight="1">
      <c r="A33" t="s" s="41">
        <v>90</v>
      </c>
      <c r="B33" t="s" s="41">
        <v>91</v>
      </c>
      <c r="C33" s="72">
        <v>3457.9</v>
      </c>
      <c r="D33" s="73">
        <v>3654.5</v>
      </c>
      <c r="E33" s="73">
        <v>3954.2</v>
      </c>
      <c r="F33" s="73">
        <v>4299.1</v>
      </c>
      <c r="G33" s="73">
        <v>4663.1</v>
      </c>
      <c r="H33" s="73">
        <v>4950.7</v>
      </c>
      <c r="I33" s="73">
        <v>4185.6</v>
      </c>
      <c r="J33" s="63">
        <f>SUM(C33:I33)</f>
        <v>29165.1</v>
      </c>
    </row>
    <row r="34" ht="12.7" customHeight="1">
      <c r="A34" t="s" s="41">
        <v>92</v>
      </c>
      <c r="B34" t="s" s="41">
        <v>93</v>
      </c>
      <c r="C34" s="44">
        <v>8562</v>
      </c>
      <c r="D34" s="45">
        <v>9072.299999999999</v>
      </c>
      <c r="E34" s="45">
        <v>9656.5</v>
      </c>
      <c r="F34" s="45">
        <v>10038.3</v>
      </c>
      <c r="G34" s="46">
        <v>10744</v>
      </c>
      <c r="H34" s="46">
        <v>11262</v>
      </c>
      <c r="I34" s="67">
        <v>10635.3</v>
      </c>
      <c r="J34" s="63">
        <f>SUM(C34:I34)</f>
        <v>69970.399999999994</v>
      </c>
    </row>
    <row r="35" ht="12.7" customHeight="1">
      <c r="A35" t="s" s="41">
        <v>94</v>
      </c>
      <c r="B35" t="s" s="41">
        <v>95</v>
      </c>
      <c r="C35" s="64">
        <v>9968.6</v>
      </c>
      <c r="D35" s="65">
        <v>10264.1</v>
      </c>
      <c r="E35" s="65">
        <v>10719.9</v>
      </c>
      <c r="F35" s="66">
        <v>11559</v>
      </c>
      <c r="G35" s="65">
        <v>12828.1</v>
      </c>
      <c r="H35" s="65">
        <v>13754.2</v>
      </c>
      <c r="I35" s="65">
        <v>13283.3</v>
      </c>
      <c r="J35" s="63">
        <f>SUM(C35:I35)</f>
        <v>82377.2</v>
      </c>
    </row>
    <row r="36" ht="12.7" customHeight="1">
      <c r="A36" t="s" s="41">
        <v>96</v>
      </c>
      <c r="B36" t="s" s="41">
        <v>97</v>
      </c>
      <c r="C36" s="51">
        <v>35467.5</v>
      </c>
      <c r="D36" s="45">
        <v>35740.2</v>
      </c>
      <c r="E36" s="45">
        <v>36779.3</v>
      </c>
      <c r="F36" s="45">
        <v>39235.3</v>
      </c>
      <c r="G36" s="45">
        <v>42892.2</v>
      </c>
      <c r="H36" s="45">
        <v>46005.4</v>
      </c>
      <c r="I36" s="67">
        <v>46796.4</v>
      </c>
      <c r="J36" s="63">
        <f>SUM(C36:I36)</f>
        <v>282916.3</v>
      </c>
    </row>
    <row r="37" ht="12.7" customHeight="1">
      <c r="A37" t="s" s="41">
        <v>98</v>
      </c>
      <c r="B37" t="s" s="41">
        <v>99</v>
      </c>
      <c r="C37" s="64">
        <v>707000.8</v>
      </c>
      <c r="D37" s="65">
        <v>777042.3</v>
      </c>
      <c r="E37" s="65">
        <v>785618.9</v>
      </c>
      <c r="F37" s="65">
        <v>760497.1</v>
      </c>
      <c r="G37" s="65">
        <v>658544.4</v>
      </c>
      <c r="H37" s="65">
        <v>679132.2</v>
      </c>
      <c r="I37" s="65">
        <v>626576.2</v>
      </c>
      <c r="J37" s="63">
        <f>SUM(C37:I37)</f>
        <v>4994411.9</v>
      </c>
    </row>
    <row r="38" ht="12.7" customHeight="1">
      <c r="A38" t="s" s="41">
        <v>100</v>
      </c>
      <c r="B38" t="s" s="41">
        <v>101</v>
      </c>
      <c r="C38" s="51">
        <v>13988.3</v>
      </c>
      <c r="D38" s="45">
        <v>14617.4</v>
      </c>
      <c r="E38" s="45">
        <v>15289.9</v>
      </c>
      <c r="F38" s="45">
        <v>16042.4</v>
      </c>
      <c r="G38" s="45">
        <v>17099.7</v>
      </c>
      <c r="H38" s="45">
        <v>18046.4</v>
      </c>
      <c r="I38" s="67">
        <v>17514.3</v>
      </c>
      <c r="J38" s="63">
        <f>SUM(C38:I38)</f>
        <v>112598.4</v>
      </c>
    </row>
    <row r="39" ht="12.7" customHeight="1">
      <c r="A39" t="s" s="41">
        <v>102</v>
      </c>
      <c r="B39" t="s" s="41">
        <v>103</v>
      </c>
      <c r="C39" s="69">
        <v>5325.1</v>
      </c>
      <c r="D39" s="70">
        <v>5674.4</v>
      </c>
      <c r="E39" s="70">
        <v>6037.3</v>
      </c>
      <c r="F39" s="70">
        <v>6356.5</v>
      </c>
      <c r="G39" s="70">
        <v>6671.5</v>
      </c>
      <c r="H39" s="70">
        <v>7056.2</v>
      </c>
      <c r="I39" s="70">
        <v>6771.6</v>
      </c>
      <c r="J39" s="63">
        <f>SUM(C39:I39)</f>
        <v>43892.6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